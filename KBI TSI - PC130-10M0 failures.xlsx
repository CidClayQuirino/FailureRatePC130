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d8a4813f7a8dcc/Desktop/AnaliseDados Falha PC130/"/>
    </mc:Choice>
  </mc:AlternateContent>
  <xr:revisionPtr revIDLastSave="66" documentId="13_ncr:1_{57FA3F43-ACFF-4917-9E67-3BCC100F3251}" xr6:coauthVersionLast="47" xr6:coauthVersionMax="47" xr10:uidLastSave="{F370200D-7C34-4E6E-88DC-D97255BAD03A}"/>
  <bookViews>
    <workbookView xWindow="-28920" yWindow="-120" windowWidth="29040" windowHeight="15720" firstSheet="2" activeTab="2" xr2:uid="{00000000-000D-0000-FFFF-FFFF00000000}"/>
  </bookViews>
  <sheets>
    <sheet name="DashBoard" sheetId="4" state="hidden" r:id="rId1"/>
    <sheet name="DB Description" sheetId="5" state="hidden" r:id="rId2"/>
    <sheet name="KBI (All) - SORT" sheetId="3" r:id="rId3"/>
    <sheet name="hiddenSheet" sheetId="2" state="veryHidden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9" i="3"/>
  <c r="G62" i="3"/>
  <c r="G61" i="3"/>
  <c r="G59" i="3"/>
  <c r="G54" i="3"/>
  <c r="G50" i="3"/>
  <c r="G46" i="3"/>
  <c r="G38" i="3"/>
  <c r="G26" i="3"/>
  <c r="G36" i="3"/>
  <c r="G34" i="3"/>
  <c r="G33" i="3"/>
  <c r="G32" i="3"/>
  <c r="G30" i="3"/>
  <c r="G29" i="3"/>
  <c r="G24" i="3"/>
  <c r="G23" i="3"/>
  <c r="G22" i="3"/>
  <c r="G21" i="3"/>
  <c r="G19" i="3"/>
  <c r="G14" i="3"/>
  <c r="G12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D374" i="3" l="1"/>
  <c r="AD375" i="3"/>
  <c r="AD376" i="3"/>
  <c r="AD377" i="3"/>
  <c r="AE374" i="3"/>
  <c r="AE375" i="3"/>
  <c r="AE376" i="3"/>
  <c r="AE377" i="3"/>
  <c r="AF374" i="3"/>
  <c r="AF375" i="3"/>
  <c r="AF376" i="3"/>
  <c r="AF377" i="3"/>
  <c r="AD373" i="3"/>
  <c r="AE373" i="3"/>
  <c r="AF373" i="3"/>
  <c r="AD369" i="3"/>
  <c r="AD370" i="3"/>
  <c r="AD371" i="3"/>
  <c r="AD372" i="3"/>
  <c r="AE369" i="3"/>
  <c r="AE370" i="3"/>
  <c r="AE371" i="3"/>
  <c r="AE372" i="3"/>
  <c r="AF369" i="3"/>
  <c r="AF370" i="3"/>
  <c r="AF371" i="3"/>
  <c r="AF372" i="3"/>
  <c r="AD353" i="3"/>
  <c r="AE353" i="3"/>
  <c r="AF353" i="3"/>
  <c r="AD354" i="3"/>
  <c r="AE354" i="3"/>
  <c r="AF354" i="3"/>
  <c r="AD355" i="3"/>
  <c r="AE355" i="3"/>
  <c r="AF355" i="3"/>
  <c r="AD356" i="3"/>
  <c r="AE356" i="3"/>
  <c r="AF356" i="3"/>
  <c r="AD357" i="3"/>
  <c r="AE357" i="3"/>
  <c r="AF357" i="3"/>
  <c r="AD358" i="3"/>
  <c r="AE358" i="3"/>
  <c r="AF358" i="3"/>
  <c r="AD359" i="3"/>
  <c r="AE359" i="3"/>
  <c r="AF359" i="3"/>
  <c r="AD360" i="3"/>
  <c r="AE360" i="3"/>
  <c r="AF360" i="3"/>
  <c r="AD361" i="3"/>
  <c r="AE361" i="3"/>
  <c r="AF361" i="3"/>
  <c r="AD362" i="3"/>
  <c r="AE362" i="3"/>
  <c r="AF362" i="3"/>
  <c r="AD363" i="3"/>
  <c r="AE363" i="3"/>
  <c r="AF363" i="3"/>
  <c r="AD364" i="3"/>
  <c r="AE364" i="3"/>
  <c r="AF364" i="3"/>
  <c r="AD365" i="3"/>
  <c r="AE365" i="3"/>
  <c r="AF365" i="3"/>
  <c r="AD366" i="3"/>
  <c r="AE366" i="3"/>
  <c r="AF366" i="3"/>
  <c r="AD367" i="3"/>
  <c r="AE367" i="3"/>
  <c r="AF367" i="3"/>
  <c r="AD368" i="3"/>
  <c r="AE368" i="3"/>
  <c r="AF368" i="3"/>
  <c r="AD352" i="3"/>
  <c r="AE352" i="3"/>
  <c r="AF352" i="3"/>
  <c r="AD347" i="3"/>
  <c r="AD348" i="3"/>
  <c r="AD349" i="3"/>
  <c r="AD350" i="3"/>
  <c r="AD351" i="3"/>
  <c r="AE347" i="3"/>
  <c r="AE348" i="3"/>
  <c r="AE349" i="3"/>
  <c r="AE350" i="3"/>
  <c r="AE351" i="3"/>
  <c r="AF347" i="3"/>
  <c r="AF348" i="3"/>
  <c r="AF349" i="3"/>
  <c r="AF350" i="3"/>
  <c r="AF351" i="3"/>
  <c r="AD333" i="3"/>
  <c r="AE333" i="3"/>
  <c r="AF333" i="3"/>
  <c r="AD334" i="3"/>
  <c r="AE334" i="3"/>
  <c r="AF334" i="3"/>
  <c r="AD335" i="3"/>
  <c r="AE335" i="3"/>
  <c r="AF335" i="3"/>
  <c r="AD336" i="3"/>
  <c r="AE336" i="3"/>
  <c r="AF336" i="3"/>
  <c r="AD337" i="3"/>
  <c r="AE337" i="3"/>
  <c r="AF337" i="3"/>
  <c r="AD338" i="3"/>
  <c r="AE338" i="3"/>
  <c r="AF338" i="3"/>
  <c r="AD339" i="3"/>
  <c r="AE339" i="3"/>
  <c r="AF339" i="3"/>
  <c r="AD340" i="3"/>
  <c r="AE340" i="3"/>
  <c r="AF340" i="3"/>
  <c r="AD341" i="3"/>
  <c r="AE341" i="3"/>
  <c r="AF341" i="3"/>
  <c r="AD342" i="3"/>
  <c r="AE342" i="3"/>
  <c r="AF342" i="3"/>
  <c r="AD343" i="3"/>
  <c r="AE343" i="3"/>
  <c r="AF343" i="3"/>
  <c r="AD344" i="3"/>
  <c r="AE344" i="3"/>
  <c r="AF344" i="3"/>
  <c r="AD345" i="3"/>
  <c r="AE345" i="3"/>
  <c r="AF345" i="3"/>
  <c r="AD346" i="3"/>
  <c r="AE346" i="3"/>
  <c r="AF346" i="3"/>
  <c r="AD332" i="3"/>
  <c r="AE332" i="3"/>
  <c r="AF332" i="3"/>
  <c r="AD323" i="3"/>
  <c r="AD324" i="3"/>
  <c r="AD325" i="3"/>
  <c r="AD326" i="3"/>
  <c r="AD327" i="3"/>
  <c r="AD328" i="3"/>
  <c r="AD329" i="3"/>
  <c r="AD330" i="3"/>
  <c r="AD331" i="3"/>
  <c r="AE323" i="3"/>
  <c r="AE324" i="3"/>
  <c r="AE325" i="3"/>
  <c r="AE326" i="3"/>
  <c r="AE327" i="3"/>
  <c r="AE328" i="3"/>
  <c r="AE329" i="3"/>
  <c r="AE330" i="3"/>
  <c r="AE331" i="3"/>
  <c r="AF323" i="3"/>
  <c r="AF324" i="3"/>
  <c r="AF325" i="3"/>
  <c r="AF326" i="3"/>
  <c r="AF327" i="3"/>
  <c r="AF328" i="3"/>
  <c r="AF329" i="3"/>
  <c r="AF330" i="3"/>
  <c r="AF331" i="3"/>
  <c r="AD320" i="3"/>
  <c r="AD321" i="3"/>
  <c r="AD322" i="3"/>
  <c r="AE320" i="3"/>
  <c r="AE321" i="3"/>
  <c r="AE322" i="3"/>
  <c r="AF320" i="3"/>
  <c r="AF321" i="3"/>
  <c r="AF322" i="3"/>
  <c r="AD317" i="3"/>
  <c r="AD318" i="3"/>
  <c r="AD319" i="3"/>
  <c r="AE317" i="3"/>
  <c r="AE318" i="3"/>
  <c r="AE319" i="3"/>
  <c r="AF317" i="3"/>
  <c r="AF318" i="3"/>
  <c r="AF319" i="3"/>
  <c r="AD233" i="3"/>
  <c r="AE233" i="3"/>
  <c r="AF233" i="3"/>
  <c r="AD234" i="3"/>
  <c r="AE234" i="3"/>
  <c r="AF234" i="3"/>
  <c r="AD235" i="3"/>
  <c r="AE235" i="3"/>
  <c r="AF235" i="3"/>
  <c r="AD236" i="3"/>
  <c r="AE236" i="3"/>
  <c r="AF236" i="3"/>
  <c r="AD237" i="3"/>
  <c r="AE237" i="3"/>
  <c r="AF237" i="3"/>
  <c r="AD238" i="3"/>
  <c r="AE238" i="3"/>
  <c r="AF238" i="3"/>
  <c r="AD239" i="3"/>
  <c r="AE239" i="3"/>
  <c r="AF239" i="3"/>
  <c r="AD240" i="3"/>
  <c r="AE240" i="3"/>
  <c r="AF240" i="3"/>
  <c r="AD241" i="3"/>
  <c r="AE241" i="3"/>
  <c r="AF241" i="3"/>
  <c r="AD242" i="3"/>
  <c r="AE242" i="3"/>
  <c r="AF242" i="3"/>
  <c r="AD243" i="3"/>
  <c r="AE243" i="3"/>
  <c r="AF243" i="3"/>
  <c r="AD244" i="3"/>
  <c r="AE244" i="3"/>
  <c r="AF244" i="3"/>
  <c r="AD245" i="3"/>
  <c r="AE245" i="3"/>
  <c r="AF245" i="3"/>
  <c r="AD246" i="3"/>
  <c r="AE246" i="3"/>
  <c r="AF246" i="3"/>
  <c r="AD247" i="3"/>
  <c r="AE247" i="3"/>
  <c r="AF247" i="3"/>
  <c r="AD248" i="3"/>
  <c r="AE248" i="3"/>
  <c r="AF248" i="3"/>
  <c r="AD249" i="3"/>
  <c r="AE249" i="3"/>
  <c r="AF249" i="3"/>
  <c r="AD250" i="3"/>
  <c r="AE250" i="3"/>
  <c r="AF250" i="3"/>
  <c r="AD251" i="3" l="1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D232" i="3" l="1"/>
  <c r="AD231" i="3"/>
  <c r="AE232" i="3"/>
  <c r="AE231" i="3"/>
  <c r="AF232" i="3"/>
  <c r="AF231" i="3"/>
  <c r="AD230" i="3"/>
  <c r="AD229" i="3"/>
  <c r="AD228" i="3"/>
  <c r="AE230" i="3"/>
  <c r="AE229" i="3"/>
  <c r="AE228" i="3"/>
  <c r="AF230" i="3"/>
  <c r="AF229" i="3"/>
  <c r="AF228" i="3"/>
  <c r="AD227" i="3"/>
  <c r="AD226" i="3"/>
  <c r="AD225" i="3"/>
  <c r="AD224" i="3"/>
  <c r="AD223" i="3"/>
  <c r="AE227" i="3"/>
  <c r="AE226" i="3"/>
  <c r="AE225" i="3"/>
  <c r="AE224" i="3"/>
  <c r="AE223" i="3"/>
  <c r="AF227" i="3"/>
  <c r="AF226" i="3"/>
  <c r="AF225" i="3"/>
  <c r="AF224" i="3"/>
  <c r="AF223" i="3"/>
  <c r="AD222" i="3"/>
  <c r="AD221" i="3"/>
  <c r="AD220" i="3"/>
  <c r="AD219" i="3"/>
  <c r="AE222" i="3"/>
  <c r="AE221" i="3"/>
  <c r="AE220" i="3"/>
  <c r="AE219" i="3"/>
  <c r="AF222" i="3"/>
  <c r="AF221" i="3"/>
  <c r="AF220" i="3"/>
  <c r="AF219" i="3"/>
  <c r="AD218" i="3"/>
  <c r="AD217" i="3"/>
  <c r="AD216" i="3"/>
  <c r="AE218" i="3"/>
  <c r="AE217" i="3"/>
  <c r="AE216" i="3"/>
  <c r="AF218" i="3"/>
  <c r="AF217" i="3"/>
  <c r="AF216" i="3"/>
  <c r="AD215" i="3"/>
  <c r="AD214" i="3"/>
  <c r="AE215" i="3"/>
  <c r="AE214" i="3"/>
  <c r="AF215" i="3"/>
  <c r="AF214" i="3"/>
  <c r="AD213" i="3"/>
  <c r="AD212" i="3"/>
  <c r="AE213" i="3"/>
  <c r="AE212" i="3"/>
  <c r="AF213" i="3"/>
  <c r="AF212" i="3"/>
  <c r="AD210" i="3"/>
  <c r="AE210" i="3"/>
  <c r="AF210" i="3"/>
  <c r="AD211" i="3"/>
  <c r="AE211" i="3"/>
  <c r="AF211" i="3"/>
  <c r="AF204" i="3"/>
  <c r="AF203" i="3"/>
  <c r="AF205" i="3"/>
  <c r="AF206" i="3"/>
  <c r="AF207" i="3"/>
  <c r="AF208" i="3"/>
  <c r="AE204" i="3"/>
  <c r="AE203" i="3"/>
  <c r="AE205" i="3"/>
  <c r="AE206" i="3"/>
  <c r="AE207" i="3"/>
  <c r="AE208" i="3"/>
  <c r="AD204" i="3"/>
  <c r="AD203" i="3"/>
  <c r="AD205" i="3"/>
  <c r="AD206" i="3"/>
  <c r="AD207" i="3"/>
  <c r="AD208" i="3"/>
  <c r="AD209" i="3"/>
  <c r="AD202" i="3"/>
  <c r="AD201" i="3"/>
  <c r="AD200" i="3"/>
  <c r="AD199" i="3"/>
  <c r="AD198" i="3"/>
  <c r="AD196" i="3"/>
  <c r="AD197" i="3"/>
  <c r="AD195" i="3"/>
  <c r="AD191" i="3"/>
  <c r="AD193" i="3"/>
  <c r="AD192" i="3"/>
  <c r="AD194" i="3"/>
  <c r="AD190" i="3"/>
  <c r="AD189" i="3"/>
  <c r="AD188" i="3"/>
  <c r="AD186" i="3"/>
  <c r="AD187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0" i="3"/>
  <c r="AD169" i="3"/>
  <c r="AD166" i="3"/>
  <c r="AD168" i="3"/>
  <c r="AD165" i="3"/>
  <c r="AD164" i="3"/>
  <c r="AD163" i="3"/>
  <c r="AD161" i="3"/>
  <c r="AD162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4" i="3"/>
  <c r="AD145" i="3"/>
  <c r="AD143" i="3"/>
  <c r="AD142" i="3"/>
  <c r="AD141" i="3"/>
  <c r="AD140" i="3"/>
  <c r="AD139" i="3"/>
  <c r="AD138" i="3"/>
  <c r="AD137" i="3"/>
  <c r="AD136" i="3"/>
  <c r="AD135" i="3"/>
  <c r="AD132" i="3"/>
  <c r="AD133" i="3"/>
  <c r="AD131" i="3"/>
  <c r="AD130" i="3"/>
  <c r="AD167" i="3"/>
  <c r="AD134" i="3"/>
  <c r="AD171" i="3"/>
  <c r="AE209" i="3"/>
  <c r="AE202" i="3"/>
  <c r="AE201" i="3"/>
  <c r="AE200" i="3"/>
  <c r="AE199" i="3"/>
  <c r="AE198" i="3"/>
  <c r="AE196" i="3"/>
  <c r="AE197" i="3"/>
  <c r="AE195" i="3"/>
  <c r="AE191" i="3"/>
  <c r="AE193" i="3"/>
  <c r="AE192" i="3"/>
  <c r="AE194" i="3"/>
  <c r="AE190" i="3"/>
  <c r="AE189" i="3"/>
  <c r="AE188" i="3"/>
  <c r="AE186" i="3"/>
  <c r="AE187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0" i="3"/>
  <c r="AE169" i="3"/>
  <c r="AE166" i="3"/>
  <c r="AE168" i="3"/>
  <c r="AE165" i="3"/>
  <c r="AE164" i="3"/>
  <c r="AE163" i="3"/>
  <c r="AE161" i="3"/>
  <c r="AE162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4" i="3"/>
  <c r="AE145" i="3"/>
  <c r="AE143" i="3"/>
  <c r="AE142" i="3"/>
  <c r="AE141" i="3"/>
  <c r="AE140" i="3"/>
  <c r="AE139" i="3"/>
  <c r="AE138" i="3"/>
  <c r="AE137" i="3"/>
  <c r="AE136" i="3"/>
  <c r="AE135" i="3"/>
  <c r="AE132" i="3"/>
  <c r="AE133" i="3"/>
  <c r="AE131" i="3"/>
  <c r="AE130" i="3"/>
  <c r="AE167" i="3"/>
  <c r="AE134" i="3"/>
  <c r="AE171" i="3"/>
  <c r="AF209" i="3"/>
  <c r="AF202" i="3"/>
  <c r="AF201" i="3"/>
  <c r="AF200" i="3"/>
  <c r="AF199" i="3"/>
  <c r="AF198" i="3"/>
  <c r="AF196" i="3"/>
  <c r="AF197" i="3"/>
  <c r="AF195" i="3"/>
  <c r="AF191" i="3"/>
  <c r="AF193" i="3"/>
  <c r="AF192" i="3"/>
  <c r="AF194" i="3"/>
  <c r="AF190" i="3"/>
  <c r="AF189" i="3"/>
  <c r="AF188" i="3"/>
  <c r="AF186" i="3"/>
  <c r="AF187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0" i="3"/>
  <c r="AF169" i="3"/>
  <c r="AF166" i="3"/>
  <c r="AF168" i="3"/>
  <c r="AF165" i="3"/>
  <c r="AF164" i="3"/>
  <c r="AF163" i="3"/>
  <c r="AF161" i="3"/>
  <c r="AF162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4" i="3"/>
  <c r="AF145" i="3"/>
  <c r="AF143" i="3"/>
  <c r="AF142" i="3"/>
  <c r="AF141" i="3"/>
  <c r="AF140" i="3"/>
  <c r="AF139" i="3"/>
  <c r="AF138" i="3"/>
  <c r="AF137" i="3"/>
  <c r="AF136" i="3"/>
  <c r="AF135" i="3"/>
  <c r="AF132" i="3"/>
  <c r="AF133" i="3"/>
  <c r="AF131" i="3"/>
  <c r="AF130" i="3"/>
  <c r="AF167" i="3"/>
  <c r="AF134" i="3"/>
  <c r="AF171" i="3"/>
  <c r="AD129" i="3" l="1"/>
  <c r="AD127" i="3"/>
  <c r="AD128" i="3"/>
  <c r="AD126" i="3"/>
  <c r="AD124" i="3"/>
  <c r="AD125" i="3"/>
  <c r="AE129" i="3"/>
  <c r="AE127" i="3"/>
  <c r="AE128" i="3"/>
  <c r="AE126" i="3"/>
  <c r="AE124" i="3"/>
  <c r="AE125" i="3"/>
  <c r="AF129" i="3"/>
  <c r="AF127" i="3"/>
  <c r="AF128" i="3"/>
  <c r="AF126" i="3"/>
  <c r="AF124" i="3"/>
  <c r="AF125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D111" i="3" l="1"/>
  <c r="AD110" i="3"/>
  <c r="AE111" i="3"/>
  <c r="AE110" i="3"/>
  <c r="AF111" i="3"/>
  <c r="AF110" i="3"/>
  <c r="AF2" i="3" l="1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9" i="3"/>
  <c r="AF17" i="3"/>
  <c r="AF18" i="3"/>
  <c r="AF20" i="3"/>
  <c r="AF21" i="3"/>
  <c r="AF22" i="3"/>
  <c r="AF23" i="3"/>
  <c r="AF24" i="3"/>
  <c r="AF25" i="3"/>
  <c r="AF26" i="3"/>
  <c r="AF27" i="3"/>
  <c r="AF29" i="3"/>
  <c r="AF28" i="3"/>
  <c r="AF30" i="3"/>
  <c r="AF31" i="3"/>
  <c r="AF32" i="3"/>
  <c r="AF33" i="3"/>
  <c r="AF34" i="3"/>
  <c r="AF36" i="3"/>
  <c r="AF35" i="3"/>
  <c r="AF37" i="3"/>
  <c r="AF38" i="3"/>
  <c r="AF39" i="3"/>
  <c r="AF40" i="3"/>
  <c r="AF41" i="3"/>
  <c r="AF104" i="3"/>
  <c r="AF65" i="3"/>
  <c r="AF64" i="3"/>
  <c r="AF103" i="3"/>
  <c r="AF102" i="3"/>
  <c r="AF101" i="3"/>
  <c r="AF100" i="3"/>
  <c r="AF99" i="3"/>
  <c r="AF98" i="3"/>
  <c r="AF97" i="3"/>
  <c r="AF96" i="3"/>
  <c r="AF93" i="3"/>
  <c r="AF92" i="3"/>
  <c r="AF91" i="3"/>
  <c r="AF90" i="3"/>
  <c r="AF89" i="3"/>
  <c r="AF88" i="3"/>
  <c r="AF87" i="3"/>
  <c r="AF86" i="3"/>
  <c r="AF95" i="3"/>
  <c r="AF85" i="3"/>
  <c r="AF94" i="3"/>
  <c r="AF84" i="3"/>
  <c r="AF83" i="3"/>
  <c r="AF80" i="3"/>
  <c r="AF82" i="3"/>
  <c r="AF81" i="3"/>
  <c r="AF79" i="3"/>
  <c r="AF78" i="3"/>
  <c r="AF77" i="3"/>
  <c r="AF76" i="3"/>
  <c r="AF75" i="3"/>
  <c r="AF74" i="3"/>
  <c r="AF73" i="3"/>
  <c r="AF71" i="3"/>
  <c r="AF72" i="3"/>
  <c r="AF69" i="3"/>
  <c r="AF70" i="3"/>
  <c r="AF68" i="3"/>
  <c r="AF67" i="3"/>
  <c r="AF66" i="3"/>
  <c r="AF63" i="3"/>
  <c r="AF62" i="3"/>
  <c r="AF60" i="3"/>
  <c r="AF59" i="3"/>
  <c r="AF58" i="3"/>
  <c r="AF57" i="3"/>
  <c r="AF56" i="3"/>
  <c r="AF55" i="3"/>
  <c r="AF54" i="3"/>
  <c r="AF53" i="3"/>
  <c r="AF52" i="3"/>
  <c r="AF51" i="3"/>
  <c r="AF50" i="3"/>
  <c r="AF61" i="3"/>
  <c r="AF49" i="3"/>
  <c r="AF48" i="3"/>
  <c r="AF47" i="3"/>
  <c r="AF46" i="3"/>
  <c r="AF45" i="3"/>
  <c r="AF44" i="3"/>
  <c r="AF43" i="3"/>
  <c r="AF42" i="3"/>
  <c r="AF107" i="3"/>
  <c r="AF106" i="3"/>
  <c r="AF105" i="3"/>
  <c r="AF109" i="3"/>
  <c r="AF108" i="3"/>
  <c r="AD109" i="3"/>
  <c r="AD108" i="3"/>
  <c r="AE109" i="3"/>
  <c r="AE108" i="3"/>
  <c r="AD107" i="3"/>
  <c r="AD106" i="3"/>
  <c r="AD105" i="3"/>
  <c r="AE107" i="3"/>
  <c r="AE106" i="3"/>
  <c r="AE105" i="3"/>
  <c r="AD104" i="3"/>
  <c r="AD103" i="3"/>
  <c r="AD102" i="3"/>
  <c r="AD101" i="3"/>
  <c r="AD100" i="3"/>
  <c r="AD99" i="3"/>
  <c r="AD98" i="3"/>
  <c r="AD97" i="3"/>
  <c r="AD96" i="3"/>
  <c r="AD93" i="3"/>
  <c r="AD92" i="3"/>
  <c r="AD91" i="3"/>
  <c r="AD90" i="3"/>
  <c r="AD89" i="3"/>
  <c r="AD88" i="3"/>
  <c r="AD87" i="3"/>
  <c r="AD86" i="3"/>
  <c r="AD95" i="3"/>
  <c r="AD85" i="3"/>
  <c r="AD94" i="3"/>
  <c r="AD84" i="3"/>
  <c r="AD83" i="3"/>
  <c r="AD80" i="3"/>
  <c r="AD82" i="3"/>
  <c r="AD81" i="3"/>
  <c r="AD79" i="3"/>
  <c r="AD78" i="3"/>
  <c r="AD77" i="3"/>
  <c r="AD76" i="3"/>
  <c r="AD75" i="3"/>
  <c r="AD74" i="3"/>
  <c r="AD73" i="3"/>
  <c r="AD71" i="3"/>
  <c r="AD72" i="3"/>
  <c r="AD69" i="3"/>
  <c r="AD70" i="3"/>
  <c r="AD68" i="3"/>
  <c r="AD67" i="3"/>
  <c r="AD66" i="3"/>
  <c r="AD65" i="3"/>
  <c r="AD64" i="3"/>
  <c r="AD63" i="3"/>
  <c r="AD62" i="3"/>
  <c r="AD60" i="3"/>
  <c r="AD59" i="3"/>
  <c r="AD58" i="3"/>
  <c r="AD57" i="3"/>
  <c r="AD56" i="3"/>
  <c r="AD55" i="3"/>
  <c r="AD54" i="3"/>
  <c r="AD53" i="3"/>
  <c r="AD52" i="3"/>
  <c r="AD51" i="3"/>
  <c r="AD50" i="3"/>
  <c r="AD61" i="3"/>
  <c r="AD49" i="3"/>
  <c r="AD48" i="3"/>
  <c r="AD47" i="3"/>
  <c r="AD46" i="3"/>
  <c r="AD45" i="3"/>
  <c r="AD44" i="3"/>
  <c r="AD43" i="3"/>
  <c r="AD42" i="3"/>
  <c r="AE104" i="3"/>
  <c r="AE103" i="3"/>
  <c r="AE102" i="3"/>
  <c r="AE101" i="3"/>
  <c r="AE100" i="3"/>
  <c r="AE99" i="3"/>
  <c r="AE98" i="3"/>
  <c r="AE97" i="3"/>
  <c r="AE96" i="3"/>
  <c r="AE93" i="3"/>
  <c r="AE92" i="3"/>
  <c r="AE91" i="3"/>
  <c r="AE90" i="3"/>
  <c r="AE89" i="3"/>
  <c r="AE88" i="3"/>
  <c r="AE87" i="3"/>
  <c r="AE86" i="3"/>
  <c r="AE95" i="3"/>
  <c r="AE85" i="3"/>
  <c r="AE94" i="3"/>
  <c r="AE84" i="3"/>
  <c r="AE83" i="3"/>
  <c r="AE80" i="3"/>
  <c r="AE82" i="3"/>
  <c r="AE81" i="3"/>
  <c r="AE79" i="3"/>
  <c r="AE78" i="3"/>
  <c r="AE77" i="3"/>
  <c r="AE76" i="3"/>
  <c r="AE75" i="3"/>
  <c r="AE74" i="3"/>
  <c r="AE73" i="3"/>
  <c r="AE71" i="3"/>
  <c r="AE72" i="3"/>
  <c r="AE69" i="3"/>
  <c r="AE70" i="3"/>
  <c r="AE68" i="3"/>
  <c r="AE67" i="3"/>
  <c r="AE66" i="3"/>
  <c r="AE65" i="3"/>
  <c r="AE64" i="3"/>
  <c r="AE63" i="3"/>
  <c r="AE62" i="3"/>
  <c r="AE60" i="3"/>
  <c r="AE59" i="3"/>
  <c r="AE58" i="3"/>
  <c r="AE57" i="3"/>
  <c r="AE56" i="3"/>
  <c r="AE55" i="3"/>
  <c r="AE54" i="3"/>
  <c r="AE53" i="3"/>
  <c r="AE52" i="3"/>
  <c r="AE51" i="3"/>
  <c r="AE50" i="3"/>
  <c r="AE61" i="3"/>
  <c r="AE49" i="3"/>
  <c r="AE48" i="3"/>
  <c r="AE47" i="3"/>
  <c r="AE46" i="3"/>
  <c r="AE45" i="3"/>
  <c r="AE44" i="3"/>
  <c r="AE43" i="3"/>
  <c r="AE42" i="3"/>
  <c r="AD24" i="3" l="1"/>
  <c r="AD33" i="3"/>
  <c r="AD34" i="3"/>
  <c r="AD36" i="3"/>
  <c r="AD35" i="3"/>
  <c r="AD39" i="3"/>
  <c r="AD41" i="3"/>
  <c r="AD40" i="3"/>
  <c r="AE41" i="3"/>
  <c r="AE40" i="3"/>
  <c r="AD37" i="3"/>
  <c r="AD38" i="3"/>
  <c r="AE39" i="3"/>
  <c r="AE37" i="3"/>
  <c r="AE38" i="3"/>
  <c r="AE36" i="3"/>
  <c r="AE35" i="3"/>
  <c r="AE34" i="3"/>
  <c r="AE33" i="3"/>
  <c r="AD32" i="3"/>
  <c r="AE32" i="3"/>
  <c r="AE2" i="3"/>
  <c r="AE3" i="3"/>
  <c r="AE4" i="3"/>
  <c r="AE6" i="3"/>
  <c r="AE5" i="3"/>
  <c r="AE8" i="3"/>
  <c r="AE7" i="3"/>
  <c r="AE10" i="3"/>
  <c r="AE9" i="3"/>
  <c r="AE12" i="3"/>
  <c r="AE11" i="3"/>
  <c r="AE13" i="3"/>
  <c r="AE16" i="3"/>
  <c r="AE15" i="3"/>
  <c r="AE14" i="3"/>
  <c r="AE19" i="3"/>
  <c r="AE17" i="3"/>
  <c r="AE18" i="3"/>
  <c r="AE22" i="3"/>
  <c r="AE21" i="3"/>
  <c r="AE20" i="3"/>
  <c r="AE23" i="3"/>
  <c r="AE24" i="3"/>
  <c r="AE25" i="3"/>
  <c r="AE26" i="3"/>
  <c r="AE29" i="3"/>
  <c r="AE27" i="3"/>
  <c r="AE28" i="3"/>
  <c r="AE31" i="3"/>
  <c r="AE30" i="3"/>
  <c r="AD31" i="3"/>
  <c r="AD30" i="3"/>
  <c r="AD28" i="3"/>
  <c r="AD29" i="3"/>
  <c r="AD27" i="3"/>
  <c r="AD26" i="3"/>
  <c r="AD25" i="3"/>
  <c r="AD23" i="3" l="1"/>
  <c r="AD22" i="3"/>
  <c r="AD21" i="3"/>
  <c r="AD20" i="3"/>
  <c r="AD19" i="3"/>
  <c r="AD17" i="3"/>
  <c r="AD18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 l="1"/>
  <c r="AD2" i="3" l="1"/>
</calcChain>
</file>

<file path=xl/sharedStrings.xml><?xml version="1.0" encoding="utf-8"?>
<sst xmlns="http://schemas.openxmlformats.org/spreadsheetml/2006/main" count="7122" uniqueCount="1988">
  <si>
    <t>Report ID</t>
  </si>
  <si>
    <t>Title</t>
  </si>
  <si>
    <t>Full Model</t>
  </si>
  <si>
    <t>Serial Number</t>
  </si>
  <si>
    <t>Additional Failure Description</t>
  </si>
  <si>
    <t>Parent Case</t>
  </si>
  <si>
    <t>Failure SMR</t>
  </si>
  <si>
    <t>Active Stage</t>
  </si>
  <si>
    <t>Failure</t>
  </si>
  <si>
    <t>Machine</t>
  </si>
  <si>
    <t>Machine2</t>
  </si>
  <si>
    <t>Delivery</t>
  </si>
  <si>
    <t>Failed Part Number</t>
  </si>
  <si>
    <t>Failed Part Name</t>
  </si>
  <si>
    <t>Component Name</t>
  </si>
  <si>
    <t>Phenomenon Name</t>
  </si>
  <si>
    <t>Plant</t>
  </si>
  <si>
    <t>Current Queue</t>
  </si>
  <si>
    <t>Status Reason</t>
  </si>
  <si>
    <t>Created</t>
  </si>
  <si>
    <t>Distributor</t>
  </si>
  <si>
    <t>Subsidiary</t>
  </si>
  <si>
    <t>Additional Notes(Request)</t>
  </si>
  <si>
    <t>Distributor Contact</t>
  </si>
  <si>
    <t>Filial DB code</t>
  </si>
  <si>
    <t>LT DB</t>
  </si>
  <si>
    <t>FY</t>
  </si>
  <si>
    <t>YEAR</t>
  </si>
  <si>
    <t>Sub.Received</t>
  </si>
  <si>
    <t>TURBOCHARGER</t>
  </si>
  <si>
    <t>In Process</t>
  </si>
  <si>
    <t>F.W.MAQUINAS (213PEA)</t>
  </si>
  <si>
    <t>KBI (9447)</t>
  </si>
  <si>
    <t>ABNOMAL NOISE</t>
  </si>
  <si>
    <t>CRACK</t>
  </si>
  <si>
    <t>LOOSEN</t>
  </si>
  <si>
    <t>Oyama (Engine) Plant (07)</t>
  </si>
  <si>
    <t>Closed</t>
  </si>
  <si>
    <t>Completed</t>
  </si>
  <si>
    <t>Sub.Confirmed Reply</t>
  </si>
  <si>
    <t>BROKEN</t>
  </si>
  <si>
    <t>HOSE</t>
  </si>
  <si>
    <t>OTHERS</t>
  </si>
  <si>
    <t>DETERIORATION</t>
  </si>
  <si>
    <t>SENSOR</t>
  </si>
  <si>
    <t>KDB (Plant) (51)</t>
  </si>
  <si>
    <t>VIANMAQ (213PRB)</t>
  </si>
  <si>
    <t>Plant.Confirmed</t>
  </si>
  <si>
    <t>SENSOR DE PRESSAO</t>
  </si>
  <si>
    <t>DCDN (213CEB)</t>
  </si>
  <si>
    <t>MALFUNCTION</t>
  </si>
  <si>
    <t>MANTOMAC-CHA (213SCA)</t>
  </si>
  <si>
    <t>NA</t>
  </si>
  <si>
    <t>BAUKO (213SPA)</t>
  </si>
  <si>
    <t>O-RING</t>
  </si>
  <si>
    <t>DCCO (213GOC)</t>
  </si>
  <si>
    <t>B20311</t>
  </si>
  <si>
    <t>RETENTOR</t>
  </si>
  <si>
    <t>MACHINE</t>
  </si>
  <si>
    <t>B20371</t>
  </si>
  <si>
    <t>HYDRAULIC CONTROL VALVE</t>
  </si>
  <si>
    <t>VAMOS (2131F)</t>
  </si>
  <si>
    <t>BATERIA</t>
  </si>
  <si>
    <t>BATTERY</t>
  </si>
  <si>
    <t>Mason (213I)</t>
  </si>
  <si>
    <t>BOOM</t>
  </si>
  <si>
    <t>FINAL DRIVE</t>
  </si>
  <si>
    <t>Solenoid</t>
  </si>
  <si>
    <t>B20291</t>
  </si>
  <si>
    <t>ROLETE INFERIOR</t>
  </si>
  <si>
    <t>OTHER</t>
  </si>
  <si>
    <t>WORK EQUIPMENT FOR H/E</t>
  </si>
  <si>
    <t>Plant.Replied</t>
  </si>
  <si>
    <t>HST PUMP</t>
  </si>
  <si>
    <t>IDLER</t>
  </si>
  <si>
    <t>HYDRAULIC TANK</t>
  </si>
  <si>
    <t>N/A</t>
  </si>
  <si>
    <t>PIN</t>
  </si>
  <si>
    <t>ENGINE ASSY</t>
  </si>
  <si>
    <t>Boom</t>
  </si>
  <si>
    <t>PARAFUSO</t>
  </si>
  <si>
    <t>B20142</t>
  </si>
  <si>
    <t>FUEL TANK</t>
  </si>
  <si>
    <t>MOTOR DIESEL</t>
  </si>
  <si>
    <t>DEFORMATION</t>
  </si>
  <si>
    <t>HYDRAULIC PIPING(1)</t>
  </si>
  <si>
    <t>SPROCKET</t>
  </si>
  <si>
    <t>DEFACTIVE PARTS</t>
  </si>
  <si>
    <t>B20366</t>
  </si>
  <si>
    <t>B20054</t>
  </si>
  <si>
    <t>MANGUEIRA</t>
  </si>
  <si>
    <t>HYDRAULIC CYLINDER</t>
  </si>
  <si>
    <t>B20407</t>
  </si>
  <si>
    <t>20Y-810-1260</t>
  </si>
  <si>
    <t>AIR CONDITIONER</t>
  </si>
  <si>
    <t>ENGINE</t>
  </si>
  <si>
    <t>B20377</t>
  </si>
  <si>
    <t>ALTERNATOR</t>
  </si>
  <si>
    <t>TRACK FRAME</t>
  </si>
  <si>
    <t>BUCKET(H/E BACKHOE)</t>
  </si>
  <si>
    <t>RADIATOR GROUP</t>
  </si>
  <si>
    <t>B20393</t>
  </si>
  <si>
    <t>FRAME</t>
  </si>
  <si>
    <t>CHICOTE</t>
  </si>
  <si>
    <t>AIR SYSTEM</t>
  </si>
  <si>
    <t>B20462</t>
  </si>
  <si>
    <t>SWING CIRCLE</t>
  </si>
  <si>
    <t>B20307</t>
  </si>
  <si>
    <t>B20336</t>
  </si>
  <si>
    <t>B20138</t>
  </si>
  <si>
    <t>INTERRUPTOR</t>
  </si>
  <si>
    <t>08068-00001</t>
  </si>
  <si>
    <t>B20384</t>
  </si>
  <si>
    <t>B20485</t>
  </si>
  <si>
    <t>B20326</t>
  </si>
  <si>
    <t>OPERATOR CAB &amp; ROPS</t>
  </si>
  <si>
    <t>ARM</t>
  </si>
  <si>
    <t>B20470</t>
  </si>
  <si>
    <t>B20014</t>
  </si>
  <si>
    <t>43346855</t>
  </si>
  <si>
    <t>.</t>
  </si>
  <si>
    <t>02896-11015</t>
  </si>
  <si>
    <t>CAB ASS'Y GROUP</t>
  </si>
  <si>
    <t>B20273</t>
  </si>
  <si>
    <t>FRACTURE</t>
  </si>
  <si>
    <t>WIRING HARNESS</t>
  </si>
  <si>
    <t>VALVULA</t>
  </si>
  <si>
    <t>B20039</t>
  </si>
  <si>
    <t>Bateria</t>
  </si>
  <si>
    <t>B20486</t>
  </si>
  <si>
    <t>ROLETE</t>
  </si>
  <si>
    <t>MOTOR DE DESLOCAMENTO</t>
  </si>
  <si>
    <t>TRAVEL MOTOR ASSY</t>
  </si>
  <si>
    <t>PINO</t>
  </si>
  <si>
    <t>SWIVEL JOINT</t>
  </si>
  <si>
    <t>B20421</t>
  </si>
  <si>
    <t>B20323</t>
  </si>
  <si>
    <t>BRACKET</t>
  </si>
  <si>
    <t>B20501</t>
  </si>
  <si>
    <t>203-70-01980</t>
  </si>
  <si>
    <t>BUCKET</t>
  </si>
  <si>
    <t>20Y-53-13113</t>
  </si>
  <si>
    <t>Mangueira</t>
  </si>
  <si>
    <t>Alternator</t>
  </si>
  <si>
    <t>PLACA</t>
  </si>
  <si>
    <t>B20437</t>
  </si>
  <si>
    <t>6738-21-5610</t>
  </si>
  <si>
    <t>B20013</t>
  </si>
  <si>
    <t>INTERFERENCE</t>
  </si>
  <si>
    <t>B20040</t>
  </si>
  <si>
    <t>B20450</t>
  </si>
  <si>
    <t>DISCO DE FREIO</t>
  </si>
  <si>
    <t>B20403</t>
  </si>
  <si>
    <t>B20089</t>
  </si>
  <si>
    <t>Sub.Submitted</t>
  </si>
  <si>
    <t>TRACK ROLLER</t>
  </si>
  <si>
    <t>B20593</t>
  </si>
  <si>
    <t>Pino</t>
  </si>
  <si>
    <t>B20500</t>
  </si>
  <si>
    <t>20Y-70-B1000</t>
  </si>
  <si>
    <t>B20536</t>
  </si>
  <si>
    <t>B20459</t>
  </si>
  <si>
    <t>WEAR/RUST/SCRATCHED(SURFACE)</t>
  </si>
  <si>
    <t>B20521</t>
  </si>
  <si>
    <t>Komtrax controller</t>
  </si>
  <si>
    <t>203-979-1121</t>
  </si>
  <si>
    <t>B20454</t>
  </si>
  <si>
    <t>B20102</t>
  </si>
  <si>
    <t>FUEL TANK GROUP</t>
  </si>
  <si>
    <t>SILENCIOSO</t>
  </si>
  <si>
    <t>6271-11-3100</t>
  </si>
  <si>
    <t>SWING MOTOR</t>
  </si>
  <si>
    <t>B20547</t>
  </si>
  <si>
    <t>B20597</t>
  </si>
  <si>
    <t>22B-32-21230</t>
  </si>
  <si>
    <t>TRACK SHOE</t>
  </si>
  <si>
    <t>ELECTRICAL SYSTEM</t>
  </si>
  <si>
    <t>B20116</t>
  </si>
  <si>
    <t>00000</t>
  </si>
  <si>
    <t>B20136</t>
  </si>
  <si>
    <t>B20141</t>
  </si>
  <si>
    <t>B20305</t>
  </si>
  <si>
    <t>COXIM</t>
  </si>
  <si>
    <t>B20144</t>
  </si>
  <si>
    <t>BOOM CYLINDER</t>
  </si>
  <si>
    <t>CONTROLADORA DO MOTOR</t>
  </si>
  <si>
    <t>22U-43-21211</t>
  </si>
  <si>
    <t>SWITCH</t>
  </si>
  <si>
    <t>B20043</t>
  </si>
  <si>
    <t>B20134</t>
  </si>
  <si>
    <t>B20555</t>
  </si>
  <si>
    <t>ANEL</t>
  </si>
  <si>
    <t>ND126000-2320</t>
  </si>
  <si>
    <t>DEFECTIVE ADJUSTMENT</t>
  </si>
  <si>
    <t>22B-70-22550</t>
  </si>
  <si>
    <t>2A5-979-1122</t>
  </si>
  <si>
    <t>Cilindro</t>
  </si>
  <si>
    <t>B20143</t>
  </si>
  <si>
    <t>B20569</t>
  </si>
  <si>
    <t>REVOLVING FRAME,COUNTER WEIGHT</t>
  </si>
  <si>
    <t>O-ring</t>
  </si>
  <si>
    <t>Bomba hidraulica</t>
  </si>
  <si>
    <t>08160-72400</t>
  </si>
  <si>
    <t>RESERVATORIO</t>
  </si>
  <si>
    <t>ACCESSORY &amp; PARTS</t>
  </si>
  <si>
    <t>SCORED</t>
  </si>
  <si>
    <t>Breather</t>
  </si>
  <si>
    <t>CARRIER ROLLER</t>
  </si>
  <si>
    <t>B20113</t>
  </si>
  <si>
    <t>PIPE</t>
  </si>
  <si>
    <t>B20573</t>
  </si>
  <si>
    <t>SUPORTE</t>
  </si>
  <si>
    <t>ANEL O-RING</t>
  </si>
  <si>
    <t>ASSENTO</t>
  </si>
  <si>
    <t>Compressor</t>
  </si>
  <si>
    <t>TC COOLER &amp; OIL COOLER GROUP</t>
  </si>
  <si>
    <t>B20754</t>
  </si>
  <si>
    <t>B20152</t>
  </si>
  <si>
    <t>B20777</t>
  </si>
  <si>
    <t>CONDENSADOR</t>
  </si>
  <si>
    <t>20Y-53-11540</t>
  </si>
  <si>
    <t>202-70-61160</t>
  </si>
  <si>
    <t>TAMPA</t>
  </si>
  <si>
    <t>WRONG/MISSING PART</t>
  </si>
  <si>
    <t>6271-81-8100</t>
  </si>
  <si>
    <t>EMBUCHAMENTO</t>
  </si>
  <si>
    <t>Suporte</t>
  </si>
  <si>
    <t>DEFECTIVE INSTALLATION</t>
  </si>
  <si>
    <t>B20154</t>
  </si>
  <si>
    <t>DEFECTIVE APPEARANCE</t>
  </si>
  <si>
    <t>B20158</t>
  </si>
  <si>
    <t>21Y-70-14770</t>
  </si>
  <si>
    <t>PLATE</t>
  </si>
  <si>
    <t>Controller</t>
  </si>
  <si>
    <t>B20163</t>
  </si>
  <si>
    <t>Pin</t>
  </si>
  <si>
    <t>CONTRA PESO</t>
  </si>
  <si>
    <t>B20606</t>
  </si>
  <si>
    <t>B20771</t>
  </si>
  <si>
    <t>B20775</t>
  </si>
  <si>
    <t>Valve Assembly, Control</t>
  </si>
  <si>
    <t>B20188</t>
  </si>
  <si>
    <t>B20692</t>
  </si>
  <si>
    <t>213SPA</t>
  </si>
  <si>
    <t>6271-11-5230</t>
  </si>
  <si>
    <t>MUFFLER</t>
  </si>
  <si>
    <t>B20745</t>
  </si>
  <si>
    <t>B20185</t>
  </si>
  <si>
    <t>Battery</t>
  </si>
  <si>
    <t>OPERATIONAL COMPLAINT</t>
  </si>
  <si>
    <t>NOROESTE (2131D)</t>
  </si>
  <si>
    <t>02896-11018</t>
  </si>
  <si>
    <t>B20283</t>
  </si>
  <si>
    <t>Rolete</t>
  </si>
  <si>
    <t>Controladora</t>
  </si>
  <si>
    <t>CONTROLADORA</t>
  </si>
  <si>
    <t>B20588</t>
  </si>
  <si>
    <t>B20731</t>
  </si>
  <si>
    <t>ELECTRONIC CONTROLLER</t>
  </si>
  <si>
    <t>controller</t>
  </si>
  <si>
    <t>B20645</t>
  </si>
  <si>
    <t>B20236</t>
  </si>
  <si>
    <t>B20156</t>
  </si>
  <si>
    <t>B20564</t>
  </si>
  <si>
    <t>Buzina</t>
  </si>
  <si>
    <t>COMPRESSOR</t>
  </si>
  <si>
    <t>Sensor</t>
  </si>
  <si>
    <t>Cover</t>
  </si>
  <si>
    <t>Joystick</t>
  </si>
  <si>
    <t>B20253</t>
  </si>
  <si>
    <t>B20112</t>
  </si>
  <si>
    <t>SERVO MOTOR</t>
  </si>
  <si>
    <t>B20114</t>
  </si>
  <si>
    <t>MODULO DE CONTROLE ELETRONICO</t>
  </si>
  <si>
    <t>B20162</t>
  </si>
  <si>
    <t>RETROVISOR</t>
  </si>
  <si>
    <t>B20203</t>
  </si>
  <si>
    <t>PARAFUSOS</t>
  </si>
  <si>
    <t>KOMTRAX ASSY</t>
  </si>
  <si>
    <t>REGULADOR DE VOLTAGEM</t>
  </si>
  <si>
    <t>B20270</t>
  </si>
  <si>
    <t>22U-60-21331</t>
  </si>
  <si>
    <t>CONTRAPESO</t>
  </si>
  <si>
    <t>B20461</t>
  </si>
  <si>
    <t>B20255</t>
  </si>
  <si>
    <t>B20231</t>
  </si>
  <si>
    <t>203-26-13170</t>
  </si>
  <si>
    <t>B20315</t>
  </si>
  <si>
    <t>B20292</t>
  </si>
  <si>
    <t>LINK</t>
  </si>
  <si>
    <t>B20296</t>
  </si>
  <si>
    <t>Wiring harness</t>
  </si>
  <si>
    <t>B20135</t>
  </si>
  <si>
    <t>22B-30-00412</t>
  </si>
  <si>
    <t>B20601</t>
  </si>
  <si>
    <t>600-411-1113</t>
  </si>
  <si>
    <t>Condensador</t>
  </si>
  <si>
    <t>0</t>
  </si>
  <si>
    <t>ORING</t>
  </si>
  <si>
    <t>HIGH/LOW LEVEL</t>
  </si>
  <si>
    <t>B20047</t>
  </si>
  <si>
    <t>B20354</t>
  </si>
  <si>
    <t>213CEB</t>
  </si>
  <si>
    <t>20Y-57-42201</t>
  </si>
  <si>
    <t>ENTER/LEAKS</t>
  </si>
  <si>
    <t>Pedro Vaz</t>
  </si>
  <si>
    <t>20Y-53-11841</t>
  </si>
  <si>
    <t>VIDRO</t>
  </si>
  <si>
    <t>22B-30-00413</t>
  </si>
  <si>
    <t>02896-61018</t>
  </si>
  <si>
    <t>B20343</t>
  </si>
  <si>
    <t>B20337</t>
  </si>
  <si>
    <t>6150-21-6750</t>
  </si>
  <si>
    <t>Glass</t>
  </si>
  <si>
    <t>TURBINA</t>
  </si>
  <si>
    <t>2A5-54-13421</t>
  </si>
  <si>
    <t>B20342</t>
  </si>
  <si>
    <t>20Y-70-B6310</t>
  </si>
  <si>
    <t>708-2L-32470</t>
  </si>
  <si>
    <t>AIR CLEANER</t>
  </si>
  <si>
    <t>B20445</t>
  </si>
  <si>
    <t>B20227</t>
  </si>
  <si>
    <t>22B-70-21920</t>
  </si>
  <si>
    <t>Turbocharger</t>
  </si>
  <si>
    <t>B20247</t>
  </si>
  <si>
    <t>TANQUE DIESEL</t>
  </si>
  <si>
    <t>22B-70-21640</t>
  </si>
  <si>
    <t>MAIN FRAME &amp; OUT-RIGGER</t>
  </si>
  <si>
    <t>Gabriel Augusto</t>
  </si>
  <si>
    <t>KDB - Quality Assurance</t>
  </si>
  <si>
    <t>Eduardo Lima</t>
  </si>
  <si>
    <t>Leandro Leite</t>
  </si>
  <si>
    <t>Plant.QA Approved</t>
  </si>
  <si>
    <t>1</t>
  </si>
  <si>
    <t>KBI - Construction Service</t>
  </si>
  <si>
    <t>Lança</t>
  </si>
  <si>
    <t>Jonatas Kammer</t>
  </si>
  <si>
    <t>Luciana Lumbieri</t>
  </si>
  <si>
    <t>Silencioso</t>
  </si>
  <si>
    <t>Bruno Rocha</t>
  </si>
  <si>
    <t>&lt;Guilherme Augusto Macedo&gt;</t>
  </si>
  <si>
    <t>Rafaella Ribeiro</t>
  </si>
  <si>
    <t>EQUIPAMENTO NOVO.</t>
  </si>
  <si>
    <t>Caçamba</t>
  </si>
  <si>
    <t>Higor Alves</t>
  </si>
  <si>
    <t>CAÇAMBA</t>
  </si>
  <si>
    <t>KBISC202205531</t>
  </si>
  <si>
    <t xml:space="preserve">PC130LC-10M0, CAB ASS'Y GROUP, RETROVISOR, WRONG/MISSING PART, SEM O ESPELHO RETROVISOR  </t>
  </si>
  <si>
    <t>PC130LC-10M0</t>
  </si>
  <si>
    <t>SEM O ESPELHO RETROVISOR</t>
  </si>
  <si>
    <t>KBIPR202205527</t>
  </si>
  <si>
    <t xml:space="preserve">PC130LC-10M0, OTHERS, WEIGHT, DEFECTIVE APPEARANCE, FALHA NA PINTURA E DESALINHAMENTO DO CON  </t>
  </si>
  <si>
    <t>B20003</t>
  </si>
  <si>
    <t>FALHA NA PINTURA E DESALINHAMENTO DO CON</t>
  </si>
  <si>
    <t>204-46-B1010</t>
  </si>
  <si>
    <t>WEIGHT</t>
  </si>
  <si>
    <t>CLIENTE POSSUI 3 MÁQUINAS.</t>
  </si>
  <si>
    <t>Canceled</t>
  </si>
  <si>
    <t>B20513</t>
  </si>
  <si>
    <t>Marcos Santos</t>
  </si>
  <si>
    <t>B20409</t>
  </si>
  <si>
    <t>Approved</t>
  </si>
  <si>
    <t>Francinete Santos</t>
  </si>
  <si>
    <t>B20411</t>
  </si>
  <si>
    <t>KBIPE202205504</t>
  </si>
  <si>
    <t xml:space="preserve">PC130LC-10M0, AIR SYSTEM, Caatiba, BA, WRONG/MISSING PART, Falta retencao de particulado  </t>
  </si>
  <si>
    <t>Falta retencao de particulado</t>
  </si>
  <si>
    <t>204-03-71411</t>
  </si>
  <si>
    <t>Caatiba, BA</t>
  </si>
  <si>
    <t>Equipamento chegou de fabrica sem o item especificado, provavelmente sobrou na hora da montagem, gentileza averiguar internamente o motivo da falta</t>
  </si>
  <si>
    <t>Adaias Santos</t>
  </si>
  <si>
    <t>ANEL O'RING</t>
  </si>
  <si>
    <t>KBISC202206572</t>
  </si>
  <si>
    <t xml:space="preserve">PC130LC-10M0, MACHINE, ., DEFECTIVE APPEARANCE, EQUIPAMENTO COM VARIOS DEFEITOS ESTETICO  </t>
  </si>
  <si>
    <t>B20059</t>
  </si>
  <si>
    <t>EQUIPAMENTO COM VARIOS DEFEITOS ESTETICO</t>
  </si>
  <si>
    <t>Por fim, graças ao trabalho do Distribuidor para corrigir as falhas aparentes no recebimento do equipamento novo, o cliente final recebeu seu equipamento e por enquanto não houve reclamações sobre os problemas acima mencionados.
Porém o equipamento atrasou em 2 dias ser entregue ao cliente devido os reparos que foram necessários serem executados.</t>
  </si>
  <si>
    <t>KBISC202206578</t>
  </si>
  <si>
    <t xml:space="preserve">PC130LC-10M0, MACHINE, 0, DEFECTIVE APPEARANCE, EQUIPAMENTO COM VARIOS DEFEITOS NA ESTET  </t>
  </si>
  <si>
    <t>B20056</t>
  </si>
  <si>
    <t>EQUIPAMENTO COM VARIOS DEFEITOS NA ESTET</t>
  </si>
  <si>
    <t>Após os ajustes acima mencionados, o equipamento ficou em boas condições para ser entregue ao cliente final, que não reclamou de nada que referente aos defeitos encontrados e acima mencionados.
Devido aos reparos que necessitaram correção, o equipamento foi entregue ao cliente final com 1 dia de atraso perante o combinado.</t>
  </si>
  <si>
    <t>Rejected - Incorrect Use of Equipment</t>
  </si>
  <si>
    <t>Muffler</t>
  </si>
  <si>
    <t>Disapproved</t>
  </si>
  <si>
    <t>Caio Herber</t>
  </si>
  <si>
    <t>Cilindro do Braço</t>
  </si>
  <si>
    <t>KBIMB202207553</t>
  </si>
  <si>
    <t xml:space="preserve">PC130LC-10M0, HYDRAULIC CONTROL VALVE, ORING, ENTER/LEAKS, Vazamento de óleo na mangueira do SwiveL  </t>
  </si>
  <si>
    <t>B20049</t>
  </si>
  <si>
    <t>Vazamento de óleo na mangueira do SwiveL</t>
  </si>
  <si>
    <t>Equipamento veio de fábrica com as conexões da mangueiras do Swivel lado esquerdo frouxas. Efetuamos o atendimento, resolvendo o problema.</t>
  </si>
  <si>
    <t>KBI9A202207556</t>
  </si>
  <si>
    <t xml:space="preserve">PC130LC-10M0, HYDRAULIC CYLINDER, Cilindro do Braço, ENTER/LEAKS, B20036  </t>
  </si>
  <si>
    <t>B20036</t>
  </si>
  <si>
    <t>707-G1-X7160</t>
  </si>
  <si>
    <t>Essa é a primeira falha ocorrida em nossa região neste modelo de equipamento. A princípio não há evidências de mau uso que possam ter ocasionado na falha identificada pelo cliente.</t>
  </si>
  <si>
    <t>Luis Siqueira</t>
  </si>
  <si>
    <t>6271-81-1940</t>
  </si>
  <si>
    <t>Rejected - Duplicate</t>
  </si>
  <si>
    <t>TR261434-0001</t>
  </si>
  <si>
    <t>CHAVE</t>
  </si>
  <si>
    <t>EQUIPAMENTO COM PMP.</t>
  </si>
  <si>
    <t>Calvin Lee</t>
  </si>
  <si>
    <t>KBISP202208580</t>
  </si>
  <si>
    <t xml:space="preserve">PC130LC-10M0, ENGINE ASSY, muffler, DEFECTIVE APPEARANCE,   </t>
  </si>
  <si>
    <t>B20033</t>
  </si>
  <si>
    <t>muffler</t>
  </si>
  <si>
    <t>MAQUINA PERTENCE A BAUKO MAQUINAS (RENTAL) AO FAZER A INSPEÇÃO DE 250 HORAS PARA LIBERAÇÃO PARA NO CLIENTE FOI CONSTATADO O RUIDO ORIUNDO DO SILENCIOSO SEMELHANTE AO OCORRIDO NAS PC130-8, MAQUINA ATUALMENTE ESTA ALUGADA PARA O CLIENTE HANS JOSEFE.</t>
  </si>
  <si>
    <t>Pending Request</t>
  </si>
  <si>
    <t>KBI1D202208515</t>
  </si>
  <si>
    <t xml:space="preserve">PC130LC-10M0, BUCKET(H/E BACKHOE), Dente de Aço, BROKEN,   </t>
  </si>
  <si>
    <t>KH20S</t>
  </si>
  <si>
    <t>Dente de Aço</t>
  </si>
  <si>
    <t>Primeiro equipamento PC130, vendido na regiao norte.</t>
  </si>
  <si>
    <t>Pending Requests</t>
  </si>
  <si>
    <t>B20095</t>
  </si>
  <si>
    <t>CASO RETOME O VAZAMENTO, ENTRAR EM CONTATO COM A BAUKO.
FOI REAPERTADO TODAS AS PRESILHAS DA LINHA DE ARREFECIMENTO, COMPLETADO O LIQUIDO ARREFECIMENTO E O EQUIPAMENTO VOLTOU A OPERAR SEM VAZAMENTOS.</t>
  </si>
  <si>
    <t>KBISC202208629</t>
  </si>
  <si>
    <t xml:space="preserve">PC130LC-10M0, FUEL TANK GROUP, FILTRO SEPARADOR, ENTER/LEAKS, TRINCA NO FILTRO SEPARADOR DO DIESEL  </t>
  </si>
  <si>
    <t>TRINCA NO FILTRO SEPARADOR DO DIESEL</t>
  </si>
  <si>
    <t>600-311-9921</t>
  </si>
  <si>
    <t>FILTRO SEPARADOR</t>
  </si>
  <si>
    <t>KBISP202209501</t>
  </si>
  <si>
    <t xml:space="preserve">PC130LC-10M0, RADIATOR GROUP, NA, HIGH/LOW LEVEL,   </t>
  </si>
  <si>
    <t>KBISC202209502</t>
  </si>
  <si>
    <t xml:space="preserve">PC130LC-10M0, RADIATOR GROUP, NET, MALFUNCTION, FALTA DA TELA DE PROTEÇAO DOS RADIADORES  </t>
  </si>
  <si>
    <t>FALTA DA TELA DE PROTEÇAO DOS RADIADORES</t>
  </si>
  <si>
    <t>NET</t>
  </si>
  <si>
    <t>EQUIPAMENTO NOVO COM AS MANUTENÇOES EM DIA.</t>
  </si>
  <si>
    <t>KBISP202209505</t>
  </si>
  <si>
    <t xml:space="preserve">PC130LC-10M0, ACCESSORY &amp; PARTS, Cover, WRONG/MISSING PART,   </t>
  </si>
  <si>
    <t>203-46-56160</t>
  </si>
  <si>
    <t>KBISC202209504</t>
  </si>
  <si>
    <t xml:space="preserve">PC130LC-10M0, AIR CONDITIONER, SUPORTE CONDENSADOR, BROKEN, QUEBRA DO SUPORTE DO CONDENSADOR  </t>
  </si>
  <si>
    <t>B20051</t>
  </si>
  <si>
    <t>QUEBRA DO SUPORTE DO CONDENSADOR</t>
  </si>
  <si>
    <t>204-03-72111</t>
  </si>
  <si>
    <t>SUPORTE CONDENSADOR</t>
  </si>
  <si>
    <t>Obs: Já foi notado em todos os equipamentos recebidos novos na Mantomac deste modelo (PC130LC-10M0) que este suporte do condensador possui folga nas dobradiças, e com o trabalhar do equipamento há o balançar/trepidar de toda a estrutura (suporte do condensador e condensador). Necessário avaliar internamente.</t>
  </si>
  <si>
    <t>KBISC202209510</t>
  </si>
  <si>
    <t xml:space="preserve">PC130LC-10M0, AIR CONDITIONER, TRAVA SUPORTE CONDENSADOR, SERVICEABILITY, FOLGA NA TRAVA DO SUPORTE DO CONDENSADOR  </t>
  </si>
  <si>
    <t>FOLGA NA TRAVA DO SUPORTE DO CONDENSADOR</t>
  </si>
  <si>
    <t>2A3-03-12850</t>
  </si>
  <si>
    <t>TRAVA SUPORTE CONDENSADOR</t>
  </si>
  <si>
    <t>SERVICEABILITY</t>
  </si>
  <si>
    <t>Favor consultar a TSI: KBISC202209504 que trás a falha semelhante, porém neste caso houve a quebra da solda da dobradiça deste suporte do motor.
Equipamento do mesmo modelo: PC130LC-10M0 e série: B20051.</t>
  </si>
  <si>
    <t>KBISP202209508</t>
  </si>
  <si>
    <t xml:space="preserve">PC130LC-10M0, ACCESSORY &amp; PARTS, PARAFUSO, DEFECTIVE ADJUSTMENT,   </t>
  </si>
  <si>
    <t>KBISC202209512</t>
  </si>
  <si>
    <t xml:space="preserve">PC130LC-10M0, AIR CONDITIONER, TRAVA SUPORTE CONDENSADOR, SERVICEABILITY, FOLGA NO SUPORTE DO CONDENSADOR  </t>
  </si>
  <si>
    <t>B20080</t>
  </si>
  <si>
    <t>FOLGA NO SUPORTE DO CONDENSADOR</t>
  </si>
  <si>
    <t>Problema já encontrado em mais equipamentos deste modelo.</t>
  </si>
  <si>
    <t>KBISP202209507</t>
  </si>
  <si>
    <t xml:space="preserve">PC130LC-10M0, RADIATOR GROUP, NIVEL BAIXO ANTICONGELANTE, HIGH/LOW LEVEL, NIVEL BAIXO LIQ ARREFECIMENTO NO RESERVA  </t>
  </si>
  <si>
    <t>NIVEL BAIXO LIQ ARREFECIMENTO NO RESERVA</t>
  </si>
  <si>
    <t xml:space="preserve">PC130LC-10M0, TC COOLER &amp; OIL COOLER GROUP, NIVEL BAIXO ANTICONGELANTE, HIGH/LOW LEVEL,   </t>
  </si>
  <si>
    <t>NIVEL BAIXO ANTICONGELANTE</t>
  </si>
  <si>
    <t>KBIMB202209516</t>
  </si>
  <si>
    <t xml:space="preserve">PC130LC-10M0, ARM, Mangueira, ENTER/LEAKS, Vazamento mangueira braço lado direito  </t>
  </si>
  <si>
    <t>Vazamento mangueira braço lado direito</t>
  </si>
  <si>
    <t>02756-20513</t>
  </si>
  <si>
    <t>Cliente não ficou sabendo do ocorrido pois, foi detectado na chegada da máquina à Mason CTG.
Os custos de serviços serão enviados à Komatsu para reembolso em garantia.</t>
  </si>
  <si>
    <t>KBISP202209511</t>
  </si>
  <si>
    <t xml:space="preserve">PC130LC-10M0, RADIATOR GROUP, ADAPTADOR, ENTER/LEAKS,   </t>
  </si>
  <si>
    <t>B20117</t>
  </si>
  <si>
    <t>6208-51-5410</t>
  </si>
  <si>
    <t>ADAPTADOR</t>
  </si>
  <si>
    <t>KBISP202209515</t>
  </si>
  <si>
    <t xml:space="preserve">PC130LC-10M0, OPERATOR CAB &amp; ROPS, SELO, ENTER/LEAKS,   </t>
  </si>
  <si>
    <t>B20108</t>
  </si>
  <si>
    <t>SELO</t>
  </si>
  <si>
    <t>KBISP202210500</t>
  </si>
  <si>
    <t xml:space="preserve">PC130LC-10M0, OTHERS, CONJUNTO ESTEIRA, DEFECTIVE APPEARANCE,   </t>
  </si>
  <si>
    <t>B20035</t>
  </si>
  <si>
    <t>203-32-02482</t>
  </si>
  <si>
    <t>CONJUNTO ESTEIRA</t>
  </si>
  <si>
    <t>CLAYTON SOUSA</t>
  </si>
  <si>
    <t>POWER TRAIN UNIT</t>
  </si>
  <si>
    <t>SEM PECA</t>
  </si>
  <si>
    <t>MASON NORTH (213PAE)</t>
  </si>
  <si>
    <t>Ewelllin Borges</t>
  </si>
  <si>
    <t>KBISP202210513</t>
  </si>
  <si>
    <t>B20092</t>
  </si>
  <si>
    <t>FALHA NA PINTURA</t>
  </si>
  <si>
    <t>KBISC202210519</t>
  </si>
  <si>
    <t xml:space="preserve">PC130LC-10M0, ACCESSORY &amp; PARTS, FECHADURA PORTA INSPEÇÃO, WRONG/MISSING PART, PERDA DA TRAVA DA PORTA DE INSPEÇÃO  </t>
  </si>
  <si>
    <t>PERDA DA TRAVA DA PORTA DE INSPEÇÃO</t>
  </si>
  <si>
    <t>20Y-54-77160</t>
  </si>
  <si>
    <t>FECHADURA PORTA INSPEÇÃO</t>
  </si>
  <si>
    <t>KBI9A202209504</t>
  </si>
  <si>
    <t xml:space="preserve">PC130LC-10M0, REVOLVING FRAME,COUNTER WEIGHT, Espuma, DEFECTIVE ADJUSTMENT, B20042  </t>
  </si>
  <si>
    <t>B20042</t>
  </si>
  <si>
    <t>203-54-17270</t>
  </si>
  <si>
    <t>Espuma</t>
  </si>
  <si>
    <t>Essa e a primeira falha ocorrida em nossa região. A principio e necessário fazer a fixação da espuma ou fazer a sua substituição</t>
  </si>
  <si>
    <t>B20599</t>
  </si>
  <si>
    <t>KBISC202211500</t>
  </si>
  <si>
    <t xml:space="preserve">PC130LC-10M0, AIR CONDITIONER, HOSE, MALFUNCTION, AR CONDICIONADO NAO ESTA FUNCIONANDO  </t>
  </si>
  <si>
    <t>AR CONDICIONADO NAO ESTA FUNCIONANDO</t>
  </si>
  <si>
    <t>204-979-7121</t>
  </si>
  <si>
    <t>EQUIPAMENTO NOVO.
CLIENTE FECHOU PLANO PMP 250 – 2000 HRS.</t>
  </si>
  <si>
    <t>KBISP202211503</t>
  </si>
  <si>
    <t xml:space="preserve">PC130LC-10M0, ENGINE ASSY, VÁLVULA DRENO, ENTER/LEAKS,   </t>
  </si>
  <si>
    <t>B20053</t>
  </si>
  <si>
    <t>VÁLVULA DRENO</t>
  </si>
  <si>
    <t>KBISP202210514</t>
  </si>
  <si>
    <t xml:space="preserve">PC130LC-10M0, TRAVEL MOTOR ASSY, MOTOR DE DESLOCAMENTO, DEFECTIVE APPEARANCE, DIFERNÇA VELOC. MOTORES DE DESLOCAMENTO  </t>
  </si>
  <si>
    <t>DIFERNÇA VELOC. MOTORES DE DESLOCAMENTO</t>
  </si>
  <si>
    <t>TZ710D200000-B</t>
  </si>
  <si>
    <t>TÉCNICO REALIZOU SEGUNDA VISITA PARA TESTES NA DATA DE 28/10/2022 - REALIZADO INVERSÃO DAS VÁLVULAS DE ALÍVIO DOS MOTORES HIDRAULICOS, VERIFICADO SOLENÓIDES DA RÉGUA, TESTE DE FULGA NO MOTOR DE AMBOS OS LADOS, PRESSÃO DE STOLL DOS MOTORES 354KgF/cm.
TODOS OS TESTES ESTÃO DENTRO DO PADRÃO, PORÉM MESMO ASSIM MÁQUINA CONTINUA DESVIANDO.</t>
  </si>
  <si>
    <t>KBISP202211505</t>
  </si>
  <si>
    <t xml:space="preserve">PC130LC-10M0, BUCKET(H/E BACKHOE), Caçamba, BROKEN,   </t>
  </si>
  <si>
    <t>B20026</t>
  </si>
  <si>
    <t>203-70-B2010</t>
  </si>
  <si>
    <t>A PEÇA VEIO A FRATURAR POR REDUÇÃO NA ÁREA DE ESFORÇO, PROVENIENTE DA PROPAGAÇÃO DA TRINCA, MÁQUINA FALHOU APÓS 7 MESES DA ENTREGA TECNICA, EQUIPAMENTO COM BAIXO HORIMETRO E PRIMEIRA REVISÃO DE 500 HORAS FEITA COM O DISTRIBUIDOR BAUKO.</t>
  </si>
  <si>
    <t>KBISC202211504</t>
  </si>
  <si>
    <t xml:space="preserve">PC130LC-10M0, ACCESSORY &amp; PARTS, PARAFUSO, MALFUNCTION, PARAFUSO TRAVA DO PISTAO DO CILINDRO  </t>
  </si>
  <si>
    <t>B20079</t>
  </si>
  <si>
    <t>PARAFUSO TRAVA DO PISTAO DO CILINDRO</t>
  </si>
  <si>
    <t>01010-81435</t>
  </si>
  <si>
    <t>KBISP202211514</t>
  </si>
  <si>
    <t>KBISP202211515</t>
  </si>
  <si>
    <t xml:space="preserve">PC130LC-10M0, BUCKET(H/E BACKHOE), BUCKET, BROKEN,   </t>
  </si>
  <si>
    <t>B20024</t>
  </si>
  <si>
    <t>203-79-B2010</t>
  </si>
  <si>
    <t>A PEÇA VEIO A FRATURAR POR REDUÇÃO NA ÁREA DE ESFORÇO, PROVENIENTE DA PROPAGAÇÃO DA TRINCA.
 PARA REALIZAR O ENSAIO DE LIQUIDO PENETRANTE, FOI UTILIZADO OS APARAMETROS E PROCESSOS DA NORMA  NBR 16450.
Cliente novo com Komatsu, primeiro equipamento adiquirido no mes de abril de 2022, cliente com revisoes periodicas na concessionaria.</t>
  </si>
  <si>
    <t>Caio Rodrigues</t>
  </si>
  <si>
    <t>KBISP202211516</t>
  </si>
  <si>
    <t xml:space="preserve">PC130LC-10M0, OPERATOR CAB &amp; ROPS, PARTES LATERAIS CINZAS DO PARABRISA, DEFECTIVE APPEARANCE,   </t>
  </si>
  <si>
    <t>PARTES LATERAIS CINZAS DO PARABRISA</t>
  </si>
  <si>
    <t>Devemos fazer o reparo em garantia. Refazer a pintura.</t>
  </si>
  <si>
    <t>Roda motriz</t>
  </si>
  <si>
    <t>KBISP202212500</t>
  </si>
  <si>
    <t xml:space="preserve">PC130LC-10M0, FUEL TANK GROUP, FILTRO DE COMBUSTÍVEL, MALFUNCTION,   </t>
  </si>
  <si>
    <t>B20050</t>
  </si>
  <si>
    <t>600-311-3620</t>
  </si>
  <si>
    <t>FILTRO DE COMBUSTÍVEL</t>
  </si>
  <si>
    <t>KBISC202212501</t>
  </si>
  <si>
    <t xml:space="preserve">PC130LC-10M0, HYDRAULIC CYLINDER, ORING, ENTER/LEAKS, VAZAMENTO DE OLEO NO TUBO DO CILINDRO  </t>
  </si>
  <si>
    <t>VAZAMENTO DE OLEO NO TUBO DO CILINDRO</t>
  </si>
  <si>
    <t>EQUIPAMENTO NOVO COM APENAS 91 HS.</t>
  </si>
  <si>
    <t>Neia Sene</t>
  </si>
  <si>
    <t>Braço</t>
  </si>
  <si>
    <t>KBIMB202212501</t>
  </si>
  <si>
    <t xml:space="preserve">PC130LC-10M0, OTHERS, INTERRUPTOR, MALFUNCTION, FALHA ACIONAMENTO BUZINA  </t>
  </si>
  <si>
    <t>B20085</t>
  </si>
  <si>
    <t>FALHA ACIONAMENTO BUZINA</t>
  </si>
  <si>
    <t>KBISP202212503</t>
  </si>
  <si>
    <t xml:space="preserve">PC130LC-10M0, RADIATOR GROUP, anticongelante, HIGH/LOW LEVEL,   </t>
  </si>
  <si>
    <t>anticongelante</t>
  </si>
  <si>
    <t>KBIMB202212503</t>
  </si>
  <si>
    <t xml:space="preserve">PC130LC-10M0, AIR CONDITIONER, HINGE, WELDED, DEFECTIVE APPEARANCE, QUEBRA SUPORTE CONDENSADOR  </t>
  </si>
  <si>
    <t>QUEBRA SUPORTE CONDENSADOR</t>
  </si>
  <si>
    <t>198-06-62820</t>
  </si>
  <si>
    <t>HINGE, WELDED</t>
  </si>
  <si>
    <t>Foi efetuado o aperto correto dos parafusos do condensador, porem veio ocasionar a quebra dasolda de fixação da dobradiça</t>
  </si>
  <si>
    <t>B20457</t>
  </si>
  <si>
    <t>ANTICONGELANTE</t>
  </si>
  <si>
    <t>KBISC202212523</t>
  </si>
  <si>
    <t xml:space="preserve">PC130LC-10M0, HYDRAULIC PIPING(1), 00000, MALFUNCTION, DESVIO NO DESLOCAMENTO PARA A DIREITA  </t>
  </si>
  <si>
    <t>B20106</t>
  </si>
  <si>
    <t>DESVIO NO DESLOCAMENTO PARA A DIREITA</t>
  </si>
  <si>
    <t>000000</t>
  </si>
  <si>
    <t>KBISC202212525</t>
  </si>
  <si>
    <t xml:space="preserve">PC130LC-10M0, ACCESSORY &amp; PARTS, MANGUEIRAS, ENTER/LEAKS, MANGUEIRAS DO SISTEMA HIDR. FROUXAS  </t>
  </si>
  <si>
    <t>MANGUEIRAS DO SISTEMA HIDR. FROUXAS</t>
  </si>
  <si>
    <t>DIVERSAS</t>
  </si>
  <si>
    <t>MANGUEIRAS</t>
  </si>
  <si>
    <t>Episódio este acabou gerando um desgaste no relacionamento do cliente com o Distribuidor, pois o equipamento trabalhou apenas 13 hrs ou menos, levando em conta a data da entrega técnica em diante.
Necessário haver por parte do fabricante um cuidado maior neste quesito. Uma falha como esta é simples, mas gera um transtorno pois o equipamento é novo, e nenhum cliente espera algo deste tipo aconteça, ainda mais se tratando de aperto de mangueiras.</t>
  </si>
  <si>
    <t>Vazamento cilindro do braço</t>
  </si>
  <si>
    <t>PINTURA</t>
  </si>
  <si>
    <t>KBISC202301500</t>
  </si>
  <si>
    <t xml:space="preserve">PC130LC-10M0, ACCESSORY &amp; PARTS, SUPORTE, WRONG/MISSING PART, SUPORTE DE CIMA RADIADOR - FALTA  </t>
  </si>
  <si>
    <t>SUPORTE DE CIMA RADIADOR - FALTA</t>
  </si>
  <si>
    <t>204-03-72711</t>
  </si>
  <si>
    <t>KBISC202301503</t>
  </si>
  <si>
    <t xml:space="preserve">PC130LC-10M0, FUEL TANK GROUP, FILTRO SEPARADOR, INTERFERENCE, SUJEIRA NO SISTEMA DE COMBUSTIVEL  </t>
  </si>
  <si>
    <t>SUJEIRA NO SISTEMA DE COMBUSTIVEL</t>
  </si>
  <si>
    <t>KBIPR202301506</t>
  </si>
  <si>
    <t xml:space="preserve">PC130LC-10M0, OTHERS, lataria pintura, MALFUNCTION, AVARIAS NA LATARIA E PINTURA  </t>
  </si>
  <si>
    <t>AVARIAS NA LATARIA E PINTURA</t>
  </si>
  <si>
    <t>xxxxxxx</t>
  </si>
  <si>
    <t>lataria pintura</t>
  </si>
  <si>
    <t>O Cliente encontra-se insatisfeito, por ser um equipamento novo,  primeira compra, com possibilidades de nova aquisição. E essas falhas de qualidade, fica fora do alcance da distribuidora. Visto que trata-se de falhas que deveriam ser validadas na fabrica antes de sair, para que não ocorra com frequencia gerando assim insatisfação do cliente.</t>
  </si>
  <si>
    <t>EQUIPAMENTO COM AS MANUTENÇOES EM DIA EFETUADAS PELO DB.</t>
  </si>
  <si>
    <t>KBISC202301506</t>
  </si>
  <si>
    <t xml:space="preserve">PC130LC-10M0, AIR CONDITIONER, Sistema ar condicionado., MALFUNCTION, EXCESSO GAS REFRIGERANTE NO SISTEMA  </t>
  </si>
  <si>
    <t>B20178</t>
  </si>
  <si>
    <t>EXCESSO GAS REFRIGERANTE NO SISTEMA</t>
  </si>
  <si>
    <t>Sistema ar condicionado</t>
  </si>
  <si>
    <t>Sistema ar condicionado.</t>
  </si>
  <si>
    <t>KBISP202301504</t>
  </si>
  <si>
    <t xml:space="preserve">PC130LC-10M0, ENGINE ASSY, Muffler, MALFUNCTION,   </t>
  </si>
  <si>
    <t>Cliente com todas as revisões feitas em conssecionaria</t>
  </si>
  <si>
    <t>B20630</t>
  </si>
  <si>
    <t>KBISC202301514</t>
  </si>
  <si>
    <t xml:space="preserve">PC130LC-10M0, HYDRAULIC CYLINDER, ANEL O-RING, ENTER/LEAKS, VAZAMENTO OLEO EM MANGUEIRA DO CILINDRO  </t>
  </si>
  <si>
    <t>VAZAMENTO OLEO EM MANGUEIRA DO CILINDRO</t>
  </si>
  <si>
    <t>Segundo atendimento neste equipamento para sanar uma falha de vazamento.</t>
  </si>
  <si>
    <t>KBISC202302502</t>
  </si>
  <si>
    <t xml:space="preserve">PC130LC-10M0, AIR CONDITIONER, BRACKET, BROKEN, QUEBRA DO SUPORTE DO CONDENSADOR  </t>
  </si>
  <si>
    <t xml:space="preserve">PC130LC-10M0, AIR CONDITIONER, BRACKET, BROKEN,   </t>
  </si>
  <si>
    <t>KBIMB202302500</t>
  </si>
  <si>
    <t xml:space="preserve">PC130LC-10M0, ACCESSORY &amp; PARTS, FRAME, DEFECTIVE APPEARANCE, Falha na Pintura  </t>
  </si>
  <si>
    <t>B20200</t>
  </si>
  <si>
    <t>Falha na Pintura</t>
  </si>
  <si>
    <t>204-910-B110</t>
  </si>
  <si>
    <t>Falha possivelmente na  confecção da peça e montagem do equipamento na fábrica.</t>
  </si>
  <si>
    <t>KBISP202302506</t>
  </si>
  <si>
    <t>B20060</t>
  </si>
  <si>
    <t>Cliente com todas as revisões feitas em conssecionaria.</t>
  </si>
  <si>
    <t>Luan Gustavo</t>
  </si>
  <si>
    <t>KBISP202302511</t>
  </si>
  <si>
    <t xml:space="preserve">PC130LC-10M0, ELECTRONIC CONTROLLER, INTERRUPTOR, DEFECTIVE ADJUSTMENT, FALHA NO ACIONADOR DA BUZINA  </t>
  </si>
  <si>
    <t>FALHA NO ACIONADOR DA BUZINA</t>
  </si>
  <si>
    <t>KBIPR202303501</t>
  </si>
  <si>
    <t xml:space="preserve">PC130LC-10M0, ACCESSORY &amp; PARTS, ANEL, DEFECTIVE ADJUSTMENT, VAZAMENTO MANGUEIRA  </t>
  </si>
  <si>
    <t>VAZAMENTO MANGUEIRA</t>
  </si>
  <si>
    <t>02896-61015</t>
  </si>
  <si>
    <t>Foi feito o teste STALL do equipamento que mostrou a falha, e inspeção visual. O cliente possui 03 (tres) equipamentos da Komatsu.</t>
  </si>
  <si>
    <t>KBISP202303501</t>
  </si>
  <si>
    <t xml:space="preserve">PC130LC-10M0, ELECTRONIC CONTROLLER, Controller, MALFUNCTION,   </t>
  </si>
  <si>
    <t>7835-51-4001</t>
  </si>
  <si>
    <t>KBISC202303501</t>
  </si>
  <si>
    <t xml:space="preserve">PC130LC-10M0, KOMTRAX ASSY, ANTENA, MALFUNCTION, EQUIPAMENTO NAO COMUNICOU COM O KOMTRAX.  </t>
  </si>
  <si>
    <t>EQUIPAMENTO NAO COMUNICOU COM O KOMTRAX.</t>
  </si>
  <si>
    <t>8A13-10-6100</t>
  </si>
  <si>
    <t>ANTENA</t>
  </si>
  <si>
    <t>EQUIPAMENTO NOVO.
MANUTENÇOES EM DIA E EFETUADAS PELO DB.</t>
  </si>
  <si>
    <t>KBISC202303503</t>
  </si>
  <si>
    <t xml:space="preserve">PC130LC-10M0, ACCESSORY &amp; PARTS, 00000, DEFECTIVE ADJUSTMENT, INSPECAO DE RECEBIMENTO  </t>
  </si>
  <si>
    <t>B20204</t>
  </si>
  <si>
    <t>INSPECAO DE RECEBIMENTO</t>
  </si>
  <si>
    <t>XX</t>
  </si>
  <si>
    <t>KBISC202303512</t>
  </si>
  <si>
    <t xml:space="preserve">PC130LC-10M0, HYDRAULIC CYLINDER, PARAFUSO, BROKEN, QUEBRA DO PARAFUSO DA TRAVA DO CILINDRO  </t>
  </si>
  <si>
    <t>QUEBRA DO PARAFUSO DA TRAVA DO CILINDRO</t>
  </si>
  <si>
    <t>EQUIPAMENTO NOVO COM APENAS 655 HS.</t>
  </si>
  <si>
    <t>KBISC202303511</t>
  </si>
  <si>
    <t>EQUIPAMENTO NOVO COM PMP.</t>
  </si>
  <si>
    <t>Additional action</t>
  </si>
  <si>
    <t>KBISC202303515</t>
  </si>
  <si>
    <t xml:space="preserve">PC130LC-10M0, FINAL DRIVE, ENGRENAGENS, BROKEN, QUEBRA ENGRENAGENS REDUTOR DESLOCAMENTO  </t>
  </si>
  <si>
    <t>QUEBRA ENGRENAGENS REDUTOR DESLOCAMENTO</t>
  </si>
  <si>
    <t>ENGRENAGENS</t>
  </si>
  <si>
    <t>EQUIPAMENTO COM TODAS AS MANUTENÇOES EM DIA EFETUADAS PELO DB.</t>
  </si>
  <si>
    <t>&lt;Rodrigo Ongaro Horvath&gt;</t>
  </si>
  <si>
    <t>KBISP202304506</t>
  </si>
  <si>
    <t xml:space="preserve">PC130LC-10M0, ELECTRONIC CONTROLLER, controller, DEFECTIVE ADJUSTMENT,   </t>
  </si>
  <si>
    <t>B20222</t>
  </si>
  <si>
    <t>KBISP202304507</t>
  </si>
  <si>
    <t xml:space="preserve">PC130LC-10M0, ACCESSORY &amp; PARTS, CALÇO DA LANÇA, DEFECTIVE ADJUSTMENT, FOLGA NO CILINDRO DA LANÇA  </t>
  </si>
  <si>
    <t>FOLGA NO CILINDRO DA LANÇA</t>
  </si>
  <si>
    <t>21Y-70-14830</t>
  </si>
  <si>
    <t>CALÇO DA LANÇA</t>
  </si>
  <si>
    <t>KBISP202302504</t>
  </si>
  <si>
    <t>B20032</t>
  </si>
  <si>
    <t>KBIPE202304502</t>
  </si>
  <si>
    <t xml:space="preserve">PC130LC-10M0, AIR CONDITIONER, FECHADURA DO SUPORTE DO CONDENSADOR, BROKEN,   </t>
  </si>
  <si>
    <t>FECHADURA DO SUPORTE DO CONDENSADOR</t>
  </si>
  <si>
    <t>KBISP202304511</t>
  </si>
  <si>
    <t xml:space="preserve">PC130LC-10M0, BATTERY, BATTERY, DEFECTIVE ADJUSTMENT, LIMPEZA DOS POLOS ELÉTRICOS  </t>
  </si>
  <si>
    <t>LIMPEZA DOS POLOS ELÉTRICOS</t>
  </si>
  <si>
    <t>21K-06-B7160</t>
  </si>
  <si>
    <t>KBIMN202304502</t>
  </si>
  <si>
    <t xml:space="preserve">PC130LC-10M0, OTHERS, CONTROLLER, PUMP, MALFUNCTION, controlaroda da BOMBA  </t>
  </si>
  <si>
    <t>B20096</t>
  </si>
  <si>
    <t>controlaroda da BOMBA</t>
  </si>
  <si>
    <t>CONTROLLER, PUMP</t>
  </si>
  <si>
    <t>KBIMN202304500</t>
  </si>
  <si>
    <t xml:space="preserve">PC130LC-10M0, OTHERS, CONTROLLER, PUMP, MALFUNCTION,   </t>
  </si>
  <si>
    <t>B20064</t>
  </si>
  <si>
    <t>KBISP202304521</t>
  </si>
  <si>
    <t>B20023</t>
  </si>
  <si>
    <t>KBISP202305501</t>
  </si>
  <si>
    <t>KBISC202305500</t>
  </si>
  <si>
    <t xml:space="preserve">PC130LC-10M0, FUEL TANK GROUP, ORING, ENTER/LEAKS, VAZAMENTO DE DIESEL PELO SEPARADOR  </t>
  </si>
  <si>
    <t>VAZAMENTO DE DIESEL PELO SEPARADOR</t>
  </si>
  <si>
    <t>600-311-9490</t>
  </si>
  <si>
    <t>Painting</t>
  </si>
  <si>
    <t>Marcos Amaral</t>
  </si>
  <si>
    <t>KBISP202305510</t>
  </si>
  <si>
    <t xml:space="preserve">PC130LC-10M0, ACCESSORY &amp; PARTS, ESPAÇADOR, DEFECTIVE APPEARANCE,   </t>
  </si>
  <si>
    <t>B20225</t>
  </si>
  <si>
    <t>21Y-70-14170</t>
  </si>
  <si>
    <t>ESPAÇADOR</t>
  </si>
  <si>
    <t>Equipamento testado e liberado para operação.</t>
  </si>
  <si>
    <t>KBIMB202305502</t>
  </si>
  <si>
    <t xml:space="preserve">PC130LC-10M0, HYDRAULIC TANK, CONJUNTO DE VALVULE, INTERFERENCE, CODIGO DE FALHA DKR2NX  </t>
  </si>
  <si>
    <t>B20046</t>
  </si>
  <si>
    <t>CODIGO DE FALHA DKR2NX</t>
  </si>
  <si>
    <t>729-17-21000</t>
  </si>
  <si>
    <t>CONJUNTO DE VALVULE</t>
  </si>
  <si>
    <t>KBIMB202306500</t>
  </si>
  <si>
    <t xml:space="preserve">PC130LC-10M0, ARM, O-RING, MALFUNCTION, VAZAMENTO HIDRAULICO  </t>
  </si>
  <si>
    <t>VAZAMENTO HIDRAULICO</t>
  </si>
  <si>
    <t>Equipamento testado e liberado para operação</t>
  </si>
  <si>
    <t>KBIPR202306501</t>
  </si>
  <si>
    <t xml:space="preserve">PC130LC-10M0, ACCESSORY &amp; PARTS, VIDRO, DEFECTIVE ADJUSTMENT, VIDRO LATERAL DA CABINE DESCOLANDO  </t>
  </si>
  <si>
    <t>VIDRO LATERAL DA CABINE DESCOLANDO</t>
  </si>
  <si>
    <t>O RECOMENDAÇÃO QUE PASSAMOS PARA O CLIENTE, QUE IRIAMOS PROVIDECIAR A SOLUÇÃO DO PROBLEMA O MAIS BREVE POSSIVEL, ANTES QUE O VIDRO VENHA A SE SOLTAR POR INTEIRO. O CLIENTE DEMOSTROU BASTANTE INSATISFEITO DEVIDO O EQUIPAMENTO TER POUCAS HORAS DE USO, E JA APRESENTAR O PROBLEMA. ALEGA ESTAR COM SERVIÇOS A SEREM EXECUTADOS, E NÃO PODE  POR INSEGURANÇA DO VIDRO SE SOLTAR DE VEZ. O CLIENTE ADQUIRIU A PRIMEIRA MAQUINA E COM PERPECTIVAS E ADQUIRIR OUTRA. POSSUI CONTRATO DE MMK 1000 HRS. JA SOLICITAMOS UMA EMPRESA ESPECIALIZADA EM VIDROS, PARA REALIZAR A REMOÇÃO DO  VIDRO  E  REALIZAR NOVA ADIÇÃO DE COLA PARA FIXAR O VIDRO LATERAL, PARA ELIMINAR ENTRADA  DE POEIRA E AGUA EVITANDO ASSIM UM PROBLEMA MAIOR.</t>
  </si>
  <si>
    <t>Liquido de arrefecimento</t>
  </si>
  <si>
    <t>Aiany Amorim</t>
  </si>
  <si>
    <t>Paulo Dias</t>
  </si>
  <si>
    <t>KBISP202306506</t>
  </si>
  <si>
    <t xml:space="preserve">PC130LC-10M0, AIR CONDITIONER, SUPORTE, BROKEN, QUEBRA DO SUPORTE DO CONDENSADOR  </t>
  </si>
  <si>
    <t>CHASSI DA MAQUINA</t>
  </si>
  <si>
    <t>KBIPE202306502</t>
  </si>
  <si>
    <t xml:space="preserve">PC130LC-10M0, REVOLVING FRAME,COUNTER WEIGHT, CHASSI DA MAQUINA, DEFECTIVE ADJUSTMENT,   </t>
  </si>
  <si>
    <t>204-46-B1110</t>
  </si>
  <si>
    <t>KBIPE202306501</t>
  </si>
  <si>
    <t>B20251</t>
  </si>
  <si>
    <t>KBIPE202306504</t>
  </si>
  <si>
    <t xml:space="preserve">PC130LC-10M0, WIRING HARNESS, Chicote Elétrico, INTERFERENCE,   </t>
  </si>
  <si>
    <t>204-06-72230</t>
  </si>
  <si>
    <t>Chicote Elétrico</t>
  </si>
  <si>
    <t>KBIMB202306528</t>
  </si>
  <si>
    <t xml:space="preserve">PC130LC-10M0, FUEL TANK, Fuel prefilter, WRONG/MISSING PART, Filtro divergente ao catálogo  </t>
  </si>
  <si>
    <t>B20048</t>
  </si>
  <si>
    <t>Filtro divergente ao catálogo</t>
  </si>
  <si>
    <t xml:space="preserve">PC130LC-10M0, FUEL TANK, Fuel prefilter, WRONG/MISSING PART,   </t>
  </si>
  <si>
    <t>6271-71-7400</t>
  </si>
  <si>
    <t>Fuel prefilter</t>
  </si>
  <si>
    <t>Reclamação enviada pela Mason UDI: 
"A PC130LC-10M0 utiliza o pré-filtro 600-319-4110, parte do conjunto 600-319-4100, parte do conjunto do filtro 6271-71-7400 (motor D95E).
A Mason Uberlândia/MG informa que o equipamento PC130LC-10M0 B20049, por algum motivo não monta o filtro correto, apenas dando montagem o filtro 600-319-3610.
Esse filtro 600-319-3610 é parte do conjunto do filtro 6754-71-7403 utilizado no D61EX-23M0 (motor D107E).
Ou seja, toda vez que o cliente pede o filtro correto conforme o catálogo (600-319-4110), não dá montagem, e o DB precisa atender com o 600-319-3610 para não parar a máquina."</t>
  </si>
  <si>
    <t>KBISP202307502</t>
  </si>
  <si>
    <t xml:space="preserve">PC130LC-10M0, ENGINE ASSY, MUFFLER, MALFUNCTION, MIOLO DO ESCAPAMENTO COM FOLGA INTERNA  </t>
  </si>
  <si>
    <t>MIOLO DO ESCAPAMENTO COM FOLGA INTERNA</t>
  </si>
  <si>
    <t>Cliente com todas as revisões feitas em conssecionaria,</t>
  </si>
  <si>
    <t>KBISP202307501</t>
  </si>
  <si>
    <t xml:space="preserve">PC130LC-10M0, ENGINE ASSY, MUFLER, MALFUNCTION, MIOLO DO ESCAPAMENTO COM FOLGA INTERNA  </t>
  </si>
  <si>
    <t>MUFLER</t>
  </si>
  <si>
    <t>KBIMB202307509</t>
  </si>
  <si>
    <t xml:space="preserve">PC130LC-10M0, OTHERS, CABEÇOTE DO FILTRO, DEFECTIVE ADJUSTMENT, CABEÇOTE FILTRO INCORRETO  </t>
  </si>
  <si>
    <t>CABEÇOTE FILTRO INCORRETO</t>
  </si>
  <si>
    <t>6754-71-7201</t>
  </si>
  <si>
    <t>CABEÇOTE DO FILTRO</t>
  </si>
  <si>
    <t>KBISP202307506</t>
  </si>
  <si>
    <t xml:space="preserve">PC130LC-10M0, WIRING HARNESS, CHICOTE, BROKEN, FALHA NO CHICOTE DO MOTOR  </t>
  </si>
  <si>
    <t>FALHA NO CHICOTE DO MOTOR</t>
  </si>
  <si>
    <t>6271-81-8240</t>
  </si>
  <si>
    <t>KBISP202307505</t>
  </si>
  <si>
    <t xml:space="preserve">PC130LC-10M0, BUCKET(H/E BACKHOE), BUCKET, BROKEN, TRINCAS NA CAÇAMBA - SOLDA  </t>
  </si>
  <si>
    <t>TRINCAS NA CAÇAMBA - SOLDA</t>
  </si>
  <si>
    <t>A PEÇA VEIO A FRATURAR POR REDUÇÃO NA ÁREA DE ESFORÇO, PROVENIENTE DA PROPAGAÇÃO DA TRINCA</t>
  </si>
  <si>
    <t>2A8-70-00030</t>
  </si>
  <si>
    <t>lança</t>
  </si>
  <si>
    <t>ESTEIRA</t>
  </si>
  <si>
    <t>Gabriel Bonifacio</t>
  </si>
  <si>
    <t>X</t>
  </si>
  <si>
    <t>KBISP202307521</t>
  </si>
  <si>
    <t xml:space="preserve">PC130LC-10M0, ENGINE ASSY, Silencioso, MALFUNCTION, Barulho anormal vindo do silencioso  </t>
  </si>
  <si>
    <t>B20180</t>
  </si>
  <si>
    <t>Barulho anormal vindo do silencioso</t>
  </si>
  <si>
    <t>KBISP202307522</t>
  </si>
  <si>
    <t xml:space="preserve">PC130LC-10M0, ARM, ESPAÇADOR, DEFECTIVE APPEARANCE, ESPAÇADORES DO BRAÇO-CAÇAMBA  </t>
  </si>
  <si>
    <t>B20259</t>
  </si>
  <si>
    <t>ESPAÇADORES DO BRAÇO-CAÇAMBA</t>
  </si>
  <si>
    <t>22B-62-45811</t>
  </si>
  <si>
    <t>KBISP202307525</t>
  </si>
  <si>
    <t xml:space="preserve">PC130LC-10M0, BUCKET(H/E BACKHOE), PINO, BROKEN, DESGASTE PREMATURO PINO BRAÇO CAÇAMBA  </t>
  </si>
  <si>
    <t>B20109</t>
  </si>
  <si>
    <t>DESGASTE PREMATURO PINO BRAÇO CAÇAMBA</t>
  </si>
  <si>
    <t>203-70-44380</t>
  </si>
  <si>
    <t>Cliente com todas as revisões feitas em conssecionaria, graxa na especificação correta com aditivo de alta pressão.</t>
  </si>
  <si>
    <t>KBIPR202307522</t>
  </si>
  <si>
    <t xml:space="preserve">PC130LC-10M0, ACCESSORY &amp; PARTS, ANEL DE VEDAÇÃO O RING, ENTER/LEAKS, VAZAMENTO DE OLEO NO MOTOR/TROCADOR DE C  </t>
  </si>
  <si>
    <t>B20099</t>
  </si>
  <si>
    <t>VAZAMENTO DE OLEO NO MOTOR/TROCADOR DE C</t>
  </si>
  <si>
    <t>07000-72070</t>
  </si>
  <si>
    <t>ANEL DE VEDAÇÃO O RING</t>
  </si>
  <si>
    <t>Após sanar a falha do vazamento, o técnico ficou observando o equipamento trabalhar por um período e não ocorreu mais o vazamento. Não foi coletado óleo para analise, e orientamos o Cliente a ficar observando o vazamento e qualquer evidencias de vazamento entrar em contato. É um cliente com uma frota de 03 equipamentos da Komatsu.</t>
  </si>
  <si>
    <t>KBIPR202307521</t>
  </si>
  <si>
    <t xml:space="preserve">PC130LC-10M0, ACCESSORY &amp; PARTS, PINO, DEFECTIVE ADJUSTMENT, FOLGA PINO E BUCHA DA LANÇA  </t>
  </si>
  <si>
    <t>FOLGA PINO E BUCHA DA LANÇA</t>
  </si>
  <si>
    <t>202-70-61160E</t>
  </si>
  <si>
    <t>O cliente com plano de manutenção MMK de até 2000 hrs ativo e possui frota com 03 equipamentos da Komatsu PC130LC.
Orientamos ao cliente,   a  importância de continuar utilizando a graxa conforme recomendação do fabricante e também da utilização de peças originais para conservação do equipamento.</t>
  </si>
  <si>
    <t>B20668</t>
  </si>
  <si>
    <t>KBIPR202308506</t>
  </si>
  <si>
    <t xml:space="preserve">PC130LC-10M0, ACCESSORY &amp; PARTS, PINO, ENTER/LEAKS, PINO E LANÇA NÃO ESTA LUBRIFICANDO  </t>
  </si>
  <si>
    <t>PINO E LANÇA NÃO ESTA LUBRIFICANDO</t>
  </si>
  <si>
    <t>O ideal seria desmontar o componente para verificar o canal de lubrificação. Pois o fato da graxa não passar, pode vir a danificar os componentes internos (bucha e Pino). Não foi coletado óleo para analise, o cliente possui contrato realizado com a Mantomac de ate 2000 hrs. Possui frota de 04 equipamentos da Komatsu , sendo 03 PCC130LC e 01 D61EX-15E0.  Espera uma posição sobre a falha e alega que desde que comprou o equipamento o canal de lubrificação não funciona.</t>
  </si>
  <si>
    <t>xx</t>
  </si>
  <si>
    <t>ISMAEL CRESTANI</t>
  </si>
  <si>
    <t>Cabine</t>
  </si>
  <si>
    <t>&lt;Rafael Nasser Manfredini&gt;</t>
  </si>
  <si>
    <t>NÍVEL BAIXO DE ANTICONGELANTE</t>
  </si>
  <si>
    <t>Equipamento liberado para operação.</t>
  </si>
  <si>
    <t>TRINCA NA LANÇA</t>
  </si>
  <si>
    <t>KBISP202308517</t>
  </si>
  <si>
    <t xml:space="preserve">PC130LC-10M0, BOOM, PIN, MALFUNCTION, DESGASTE PREMATURO NO PINO LANÇA-BRAÇO  </t>
  </si>
  <si>
    <t>DESGASTE PREMATURO NO PINO LANÇA-BRAÇO</t>
  </si>
  <si>
    <t>O cliente realizou todas as revisões na concessionária e utilizou graxa Shell Gadus S2 V 220 2.</t>
  </si>
  <si>
    <t>KBISP202308521</t>
  </si>
  <si>
    <t xml:space="preserve">PC130LC-10M0, ACCESSORY &amp; PARTS, CHAVE, WRONG/MISSING PART, CHAVE DO EQUIPAMENTO NÃO COMPATÍVEL  </t>
  </si>
  <si>
    <t>CHAVE DO EQUIPAMENTO NÃO COMPATÍVEL</t>
  </si>
  <si>
    <t>KBISP202309503</t>
  </si>
  <si>
    <t xml:space="preserve">PC130LC-10M0, ARM, PIPE, WRONG/MISSING PART, FALTA DE COMPONENTES  </t>
  </si>
  <si>
    <t>FALTA DE COMPONENTES</t>
  </si>
  <si>
    <t>Primeira máquina do cliente.</t>
  </si>
  <si>
    <t>Problem Solved</t>
  </si>
  <si>
    <t>KBIPR202309508</t>
  </si>
  <si>
    <t xml:space="preserve">PC130LC-10M0, ACCESSORY &amp; PARTS, ANEL O'RING, DEFECTIVE ADJUSTMENT, VAZAMENTO MANGUEIRA DE ALIMENTAÇÃO  </t>
  </si>
  <si>
    <t>VAZAMENTO MANGUEIRA DE ALIMENTAÇÃO</t>
  </si>
  <si>
    <t>02896-61018E</t>
  </si>
  <si>
    <t>Acreditamos que não foi realizado o torque da porca da maquina adequadamente durante a montagem do equipamento na fabrica. Por isso que aconteceu de as mangueiras se soltarem ocasionando o vazamento. Após a substituição foi feito testes e realizado a entrega técnica ao cliente conforme manual de fabrica.</t>
  </si>
  <si>
    <t>Whasterley Silva</t>
  </si>
  <si>
    <t>KBIMB202309516</t>
  </si>
  <si>
    <t xml:space="preserve">PC130LC-10M0, AIR CONDITIONER, O-ring, MALFUNCTION, VAZAMENTO LÍQUIDO REFRIGERANTE  </t>
  </si>
  <si>
    <t>B20299</t>
  </si>
  <si>
    <t>VAZAMENTO LÍQUIDO REFRIGERANTE</t>
  </si>
  <si>
    <t>20Y-979-3140</t>
  </si>
  <si>
    <t>KBISP202307526</t>
  </si>
  <si>
    <t xml:space="preserve">PC130LC-10M0, BUCKET(H/E BACKHOE), PINO, MALFUNCTION, DESGASTE PREMATURO NO PINO DA CAÇAMBA  </t>
  </si>
  <si>
    <t>DESGASTE PREMATURO NO PINO DA CAÇAMBA</t>
  </si>
  <si>
    <t>O cliente realizou todas as revisões na concessionária e utilizou graxa à base de sabão de lítio com aditivo de pressão extrema.</t>
  </si>
  <si>
    <t>KBISP202307524</t>
  </si>
  <si>
    <t xml:space="preserve">PC130LC-10M0, BUCKET(H/E BACKHOE), PINO, MALFUNCTION, FOLGA NA CAÇAMBA  </t>
  </si>
  <si>
    <t>FOLGA NA CAÇAMBA</t>
  </si>
  <si>
    <t>KBISP202309506</t>
  </si>
  <si>
    <t xml:space="preserve">PC130LC-10M0, ARM, PINO, DEFECTIVE ADJUSTMENT, INEFICIÊNCIA NO FUNCIONAMENTO DO BRAÇO  </t>
  </si>
  <si>
    <t>INEFICIÊNCIA NO FUNCIONAMENTO DO BRAÇO</t>
  </si>
  <si>
    <t>22B-70-21910</t>
  </si>
  <si>
    <t>KBISP202309509</t>
  </si>
  <si>
    <t xml:space="preserve">PC130LC-10M0, ACCESSORY &amp; PARTS, CHAVE, MALFUNCTION,   </t>
  </si>
  <si>
    <t>B20695</t>
  </si>
  <si>
    <t>B20693</t>
  </si>
  <si>
    <t>TROLLEY SYSTEM UNIT</t>
  </si>
  <si>
    <t>B20690</t>
  </si>
  <si>
    <t>KBISP202310514</t>
  </si>
  <si>
    <t xml:space="preserve">PC130LC-10M0, IDLER, RODA GUIA L.E, BROKEN, FRATURA NA PISTA DE ROLAGEM RODA GUIA  </t>
  </si>
  <si>
    <t>FRATURA NA PISTA DE ROLAGEM RODA GUIA</t>
  </si>
  <si>
    <t>203-30-B0010</t>
  </si>
  <si>
    <t>RODA GUIA L.E</t>
  </si>
  <si>
    <t>KBISP202310515</t>
  </si>
  <si>
    <t xml:space="preserve">PC130LC-10M0, AIR CONDITIONER, CONDENSADOR, ENTER/LEAKS, VAZAM. NO CONDENSADOR  </t>
  </si>
  <si>
    <t>VAZAM. NO CONDENSADOR</t>
  </si>
  <si>
    <t>2A5-979-1282</t>
  </si>
  <si>
    <t>KBISP202310521</t>
  </si>
  <si>
    <t xml:space="preserve">PC130LC-10M0, ENGINE ASSY, TURBINA, MALFUNCTION, RUÍDO DEVIDO DANOS NA HÉLICE DA TURBINA  </t>
  </si>
  <si>
    <t>RUÍDO DEVIDO DANOS NA HÉLICE DA TURBINA</t>
  </si>
  <si>
    <t>KBISP202310524</t>
  </si>
  <si>
    <t xml:space="preserve">PC130LC-10M0, TC COOLER &amp; OIL COOLER GROUP, ANTICONGELANTE, HIGH/LOW LEVEL, NÍVEL BAIXO DE ANTICONGELANTE  </t>
  </si>
  <si>
    <t>B20248</t>
  </si>
  <si>
    <t>KBISP202310529</t>
  </si>
  <si>
    <t xml:space="preserve">PC130LC-10M0, IDLER, Vedação da roda guia, MALFUNCTION, Vazamento roda guia  </t>
  </si>
  <si>
    <t>B20284</t>
  </si>
  <si>
    <t>Vazamento roda guia</t>
  </si>
  <si>
    <t>175-30-00702</t>
  </si>
  <si>
    <t>Vedação da roda guia</t>
  </si>
  <si>
    <t>KBIPR202310510</t>
  </si>
  <si>
    <t xml:space="preserve">PC130LC-10M0, BUCKET(H/E BACKHOE), CAÇAMBA, OTHER, DESGASTE PREMATURO DA CONCHA  </t>
  </si>
  <si>
    <t>DESGASTE PREMATURO DA CONCHA</t>
  </si>
  <si>
    <t>Analisando o ambiente de operação e a condição da caçamba em geral, entendemos que houve um desgaste prematuro nas chapas de desgaste e na solda da chapa de reforço lateral que soltou, por isso estamos solicitando uma análise para possível reparo em garantia.</t>
  </si>
  <si>
    <t>Injector</t>
  </si>
  <si>
    <t>bateria</t>
  </si>
  <si>
    <t>KBISP202311508</t>
  </si>
  <si>
    <t xml:space="preserve">PC130LC-10M0, AIR CONDITIONER, COMPRESSOR, DEFECTIVE APPEARANCE,   </t>
  </si>
  <si>
    <t>KBIPR202311504</t>
  </si>
  <si>
    <t xml:space="preserve">PC130LC-10M0, SPROCKET, Roda Dentada, DEFECTIVE APPEARANCE, RODA MOTRIZ DESPLACANDO  </t>
  </si>
  <si>
    <t>RODA MOTRIZ DESPLACANDO</t>
  </si>
  <si>
    <t>203-27-D1110</t>
  </si>
  <si>
    <t>Roda Dentada</t>
  </si>
  <si>
    <t>Foi realizado inspeção visual nos roletes, correntes, rodas motrizes, verificado aperto do conjunto do comando final, folga das esteiras e realizado testes operacionais. Nos testes realizados não ocorreu a situação apontada pelo cliente de a esteira estar “montando”, porém foi verificado uma diferença nas condições entre as rodas motrizes do LE e do LD. Conforme evidências apresentadas, a roda motriz do lado direiro apresenta marcas de arrancamento de material ou falha de fabricação. O Cliente demontra preocupação devido o equipamento estar com pouco uso. Orientamos o mesmo que iriamos entrar em contato com fabrica para saber se teria algum procedimento para essa falha.</t>
  </si>
  <si>
    <t>KBISP202311511</t>
  </si>
  <si>
    <t xml:space="preserve">PC130LC-10M0, HYDRAULIC CONTROL VALVE, COMADO HIDRAULICO, MALFUNCTION,   </t>
  </si>
  <si>
    <t>723-56-15804</t>
  </si>
  <si>
    <t>COMADO HIDRAULICO</t>
  </si>
  <si>
    <t>KBISP202311513</t>
  </si>
  <si>
    <t xml:space="preserve">PC130LC-10M0, ENGINE ASSY, MUFFLER, MALFUNCTION,   </t>
  </si>
  <si>
    <t>PRIMEIRA MÁQUINA DO CLIENTE</t>
  </si>
  <si>
    <t>KBISP202311519</t>
  </si>
  <si>
    <t xml:space="preserve">PC130LC-10M0, BOOM, 203-70-61760, DEFECTIVE APPEARANCE,   </t>
  </si>
  <si>
    <t>203-70-61760</t>
  </si>
  <si>
    <t>Primeira máquina do cliente</t>
  </si>
  <si>
    <t>KBISP202311518</t>
  </si>
  <si>
    <t>6271/11/5230</t>
  </si>
  <si>
    <t>Gioge Seben</t>
  </si>
  <si>
    <t>KBISP202312503</t>
  </si>
  <si>
    <t xml:space="preserve">PC130LC-10M0, AIR CONDITIONER, 203-979-1121, MALFUNCTION,   </t>
  </si>
  <si>
    <t>B20306</t>
  </si>
  <si>
    <t>KBISP202312501</t>
  </si>
  <si>
    <t xml:space="preserve">PC130LC-10M0, OTHERS, ÓLEO HIDRÁULICO, HIGH/LOW LEVEL,   </t>
  </si>
  <si>
    <t>ÓLEO HIDRÁULICO</t>
  </si>
  <si>
    <t>20Y-00-31840</t>
  </si>
  <si>
    <t>KBISP202312519</t>
  </si>
  <si>
    <t xml:space="preserve">PC130LC-10M0, ARM, LINK, DEFECTIVE APPEARANCE,   </t>
  </si>
  <si>
    <t>B20338</t>
  </si>
  <si>
    <t>202-70-64131</t>
  </si>
  <si>
    <t>KBISP202312518</t>
  </si>
  <si>
    <t xml:space="preserve">PC130LC-10M0, BUCKET(H/E BACKHOE), LINK, DEFECTIVE APPEARANCE, MAL ACABAMENTO NO LINK DO BRAÇO-CAÇAMBA  </t>
  </si>
  <si>
    <t>B20350</t>
  </si>
  <si>
    <t>MAL ACABAMENTO NO LINK DO BRAÇO-CAÇAMBA</t>
  </si>
  <si>
    <t>KBISP202312517</t>
  </si>
  <si>
    <t>B20355</t>
  </si>
  <si>
    <t>KBISP202312516</t>
  </si>
  <si>
    <t>KBISP202312515</t>
  </si>
  <si>
    <t>B20348</t>
  </si>
  <si>
    <t>KBISP202312514</t>
  </si>
  <si>
    <t>B20347</t>
  </si>
  <si>
    <t>KBISP202312513</t>
  </si>
  <si>
    <t>B20349</t>
  </si>
  <si>
    <t>KBISP202312512</t>
  </si>
  <si>
    <t>MÁQUINA DE PÁTIO</t>
  </si>
  <si>
    <t>KBISP202312511</t>
  </si>
  <si>
    <t>B20340</t>
  </si>
  <si>
    <t>KBISP202312510</t>
  </si>
  <si>
    <t>B20317</t>
  </si>
  <si>
    <t>KBISP202312520</t>
  </si>
  <si>
    <t xml:space="preserve">PC130LC-10M0, BOOM, PINO, MALFUNCTION, DESGASTE PREMATURO PINO E BUCHA  </t>
  </si>
  <si>
    <t>B20312</t>
  </si>
  <si>
    <t>DESGASTE PREMATURO PINO E BUCHA</t>
  </si>
  <si>
    <t>KBISP202312521</t>
  </si>
  <si>
    <t xml:space="preserve">PC130LC-10M0, SWIVEL JOINT, 07002-22034, MALFUNCTION,   </t>
  </si>
  <si>
    <t>07002-22034</t>
  </si>
  <si>
    <t>Primeira máquina do cliente .</t>
  </si>
  <si>
    <t>KBIRS202312505</t>
  </si>
  <si>
    <t xml:space="preserve">PC130LC-10M0, AIR CONDITIONER, SUPORTE CONDENSADOR, DEFECTIVE APPEARANCE,   </t>
  </si>
  <si>
    <t>KBISP202312524</t>
  </si>
  <si>
    <t xml:space="preserve">PC130LC-10M0, BOOM, PINO, DEFECTIVE ADJUSTMENT, DESGASTE PREMATURO DO PINO DA LANÇA  </t>
  </si>
  <si>
    <t>DESGASTE PREMATURO DO PINO DA LANÇA</t>
  </si>
  <si>
    <t>KBISP202312533</t>
  </si>
  <si>
    <t xml:space="preserve">PC130LC-10M0, BUCKET(H/E BACKHOE), BUCKET, DEFORMATION,   </t>
  </si>
  <si>
    <t>KBIMB202312528</t>
  </si>
  <si>
    <t xml:space="preserve">PC130LC-10M0, POWER TRAIN UNIT, SWITCH, DEFECTIVE APPEARANCE, Botão Power max não aciona  </t>
  </si>
  <si>
    <t>B20216</t>
  </si>
  <si>
    <t>Botão Power max não aciona</t>
  </si>
  <si>
    <t>FALHA NO BOTAO DE ACIONAMENTO  DO POWER MAX.</t>
  </si>
  <si>
    <t>KBIPR202312510</t>
  </si>
  <si>
    <t xml:space="preserve">PC130LC-10M0, BUCKET(H/E BACKHOE), CAÇAMBA, BROKEN, FALHA NA CAÇAMBA DE TRABALHO  </t>
  </si>
  <si>
    <t>FALHA NA CAÇAMBA DE TRABALHO</t>
  </si>
  <si>
    <t>O CLIENTE DEMONSTRA PREOCUPAÇÃO COM ESSA CAÇAMBA, OPERA COM EQUIPAMENTOS NO MARANHÃO. O MESMO POSSUI OU ROS EQUIPAMENTOS COMO CARREGADEIRAS DE RODAS KOMATSU WA200 E WA320, E TAMBÉM DUAS ESCAVADEIRAS 313 CATERPILLAR NA MESMA OPERAÇÃO DA PC130LC-10M0.</t>
  </si>
  <si>
    <t>KBISP202312540</t>
  </si>
  <si>
    <t xml:space="preserve">PC130LC-10M0, TRACK ROLLER, TRACK GUARD, WRONG/MISSING PART,   </t>
  </si>
  <si>
    <t>203-30-56151</t>
  </si>
  <si>
    <t>TRACK GUARD</t>
  </si>
  <si>
    <t>Primeiro equipamento do cliente.</t>
  </si>
  <si>
    <t>KBIMB202401501</t>
  </si>
  <si>
    <t xml:space="preserve">PC130LC-10M0, BOOM, Pino, BROKEN, PINO DA LANÇA  </t>
  </si>
  <si>
    <t>PINO DA LANÇA</t>
  </si>
  <si>
    <t>Equipamento testado e liberado.</t>
  </si>
  <si>
    <t>KBI1F202401503</t>
  </si>
  <si>
    <t xml:space="preserve">PC130LC-10M0, AIR CONDITIONER, SUPORTE, FRACTURE, DEF. SOLDA DOBRADIÇA DO SUP. CONDENSADOR  </t>
  </si>
  <si>
    <t>DEF. SOLDA DOBRADIÇA DO SUP. CONDENSADOR</t>
  </si>
  <si>
    <t>KBIMB202401505</t>
  </si>
  <si>
    <t xml:space="preserve">PC130LC-10M0, AIR CLEANER, Silencioso, ABNOMAL NOISE, Silencioso apresenta ruídos anormais  </t>
  </si>
  <si>
    <t>B20214</t>
  </si>
  <si>
    <t>Silencioso apresenta ruídos anormais</t>
  </si>
  <si>
    <t xml:space="preserve">PC130LC-10M0, ENGINE ASSY, MUFFLER, ABNOMAL NOISE, ABNORMAL NOISE FROM THE EXHAUST MUFFLER  </t>
  </si>
  <si>
    <t>KBIRS202401501</t>
  </si>
  <si>
    <t xml:space="preserve">PC130LC-10M0, OTHERS, CONTRAPESO, DEFECTIVE APPEARANCE, FALHA APARENTE NO CONTRAPESO  </t>
  </si>
  <si>
    <t>B20362</t>
  </si>
  <si>
    <t>FALHA APARENTE NO CONTRAPESO</t>
  </si>
  <si>
    <t>PROBLEMA SOLUCIONADO.</t>
  </si>
  <si>
    <t>BATERIA NÃO SEGURANDO CARGA</t>
  </si>
  <si>
    <t>KBISP202312526</t>
  </si>
  <si>
    <t xml:space="preserve">PC130LC-10M0, ARM, PIN, DETERIORATION, DESGASTE REMATURO CONJUNTO PINO E BUCHAS  </t>
  </si>
  <si>
    <t>B20316</t>
  </si>
  <si>
    <t>DESGASTE REMATURO CONJUNTO PINO E BUCHAS</t>
  </si>
  <si>
    <t>PRIMEIRA MÁQUINA KOMATSU DO CLIENTE</t>
  </si>
  <si>
    <t>B20746</t>
  </si>
  <si>
    <t>KBIRS202401508</t>
  </si>
  <si>
    <t xml:space="preserve">PC130LC-10M0, ELECTRICAL SYSTEM, SENSOR, DEFECTIVE ADJUSTMENT,   </t>
  </si>
  <si>
    <t>Julio Cesar Da Silva Pereira</t>
  </si>
  <si>
    <t>KBIRS202401511</t>
  </si>
  <si>
    <t xml:space="preserve">PC130LC-10M0, AIR CONDITIONER, SUPORTE CONDENSADOR, DEFORMATION, QUEBRA DO SUPORTE DO CONDENSADOR  </t>
  </si>
  <si>
    <t>203-32-61130</t>
  </si>
  <si>
    <t>KBISP202402503</t>
  </si>
  <si>
    <t xml:space="preserve">PC130LC-10M0, TROLLEY SYSTEM UNIT, LINK, BROKEN,   </t>
  </si>
  <si>
    <t>B20087</t>
  </si>
  <si>
    <t>Filipe Martimiliano</t>
  </si>
  <si>
    <t>B20733</t>
  </si>
  <si>
    <t>KBIPE202402501</t>
  </si>
  <si>
    <t xml:space="preserve">PC130LC-10M0, HYDRAULIC CONTROL VALVE, Cotovelo do comando de válvulas, DEFACTIVE PARTS,   </t>
  </si>
  <si>
    <t>02783-10628</t>
  </si>
  <si>
    <t>Cotovelo do comando de válvulas</t>
  </si>
  <si>
    <t>KBI9A202402500</t>
  </si>
  <si>
    <t xml:space="preserve">PC130LC-10M0, HST PUMP, RETENTOR, ENTER/LEAKS, Vazamento de óleo na bomba hidráulica.  </t>
  </si>
  <si>
    <t>B20078</t>
  </si>
  <si>
    <t>Vazamento de óleo na bomba hidráulica.</t>
  </si>
  <si>
    <t>KBISP202402514</t>
  </si>
  <si>
    <t xml:space="preserve">PC130LC-10M0, TRACK SHOE, CONJ DE ELOS, DETERIORATION, DESGASTE PREMATURO NO MATERIAL RODANTE  </t>
  </si>
  <si>
    <t>DESGASTE PREMATURO NO MATERIAL RODANTE</t>
  </si>
  <si>
    <t>203-32-00311</t>
  </si>
  <si>
    <t>CONJ DE ELOS</t>
  </si>
  <si>
    <t>KBI9A202402503</t>
  </si>
  <si>
    <t xml:space="preserve">PC130LC-10M0, OTHERS, Conjunto da lâmpada, SERVICEABILITY, Faróis de trabalho opacos  </t>
  </si>
  <si>
    <t>B20130</t>
  </si>
  <si>
    <t>Faróis de trabalho opacos</t>
  </si>
  <si>
    <t>2A8-06-11310</t>
  </si>
  <si>
    <t>Conjunto da lâmpada</t>
  </si>
  <si>
    <t>KBISP202402516</t>
  </si>
  <si>
    <t xml:space="preserve">PC130LC-10M0, ENGINE ASSY, MUFFLER, MALFUNCTION, RUÍDO ANORMAL NO MIOLO DO SILENCIADOR  </t>
  </si>
  <si>
    <t>RUÍDO ANORMAL NO MIOLO DO SILENCIADOR</t>
  </si>
  <si>
    <t>KBIMB202402513</t>
  </si>
  <si>
    <t xml:space="preserve">PC130LC-10M0, OTHERS, BRACKET, BROKEN, Quebra dobradiça suporte do condensador  </t>
  </si>
  <si>
    <t>B20215</t>
  </si>
  <si>
    <t>Quebra dobradiça suporte do condensador</t>
  </si>
  <si>
    <t>KBIMN202402501</t>
  </si>
  <si>
    <t xml:space="preserve">PC130LC-10M0, BOOM, boom ASSEMBLY, CRACK, TRINCA NA BASE DE FIXAÇÃO DA CAÇAMBA  </t>
  </si>
  <si>
    <t>TRINCA NA BASE DE FIXAÇÃO DA CAÇAMBA</t>
  </si>
  <si>
    <t>boom ASSEMBLY</t>
  </si>
  <si>
    <t>KBISP202402518</t>
  </si>
  <si>
    <t>KBIPE202403501</t>
  </si>
  <si>
    <t xml:space="preserve">PC130LC-10M0, ENGINE ASSY, MOTOR DIESEL, ABNOMAL NOISE, RUÍDOS ANORMAIS VINDO DO MOTOR  </t>
  </si>
  <si>
    <t>RUÍDOS ANORMAIS VINDO DO MOTOR</t>
  </si>
  <si>
    <t>SAA4D95LE-5BR</t>
  </si>
  <si>
    <t>KBISP202403503</t>
  </si>
  <si>
    <t xml:space="preserve">PC130LC-10M0, ACCESSORY &amp; PARTS, PLATE, DEFORMATION, DEFORMAÇÃO NA PLACA DE FIX. CIL. LANÇA  </t>
  </si>
  <si>
    <t>DEFORMAÇÃO NA PLACA DE FIX. CIL. LANÇA</t>
  </si>
  <si>
    <t>KBIRS202403501</t>
  </si>
  <si>
    <t xml:space="preserve">PC130LC-10M0, ACCESSORY &amp; PARTS, PINTURA EM GERAL, WEAR/RUST/SCRATCHED(SURFACE), FALHA NA PINTURA  </t>
  </si>
  <si>
    <t>B20193</t>
  </si>
  <si>
    <t>PINTURA EM GERAL</t>
  </si>
  <si>
    <t>KBISP202403508</t>
  </si>
  <si>
    <t xml:space="preserve">PC130LC-10M0, ENGINE ASSY, MUFFLER, ABNOMAL NOISE, RUÍDO ANORMAL NO MIOLO DO SILENCIADOR  </t>
  </si>
  <si>
    <t>B20674</t>
  </si>
  <si>
    <t>KBISP202403518</t>
  </si>
  <si>
    <t xml:space="preserve">PC130LC-10M0, BATTERY, Bateria, MALFUNCTION, BAIXA CARGA DE BATERIA  </t>
  </si>
  <si>
    <t>BAIXA CARGA DE BATERIA</t>
  </si>
  <si>
    <t>KBISP202403519</t>
  </si>
  <si>
    <t xml:space="preserve">PC130LC-10M0, ACCESSORY &amp; PARTS, HAMMER, WRONG/MISSING PART,   </t>
  </si>
  <si>
    <t>B20391</t>
  </si>
  <si>
    <t>22B-54-17380</t>
  </si>
  <si>
    <t>HAMMER</t>
  </si>
  <si>
    <t>2A8-70-00120</t>
  </si>
  <si>
    <t>KBIPR202403512</t>
  </si>
  <si>
    <t xml:space="preserve">PC130LC-10M0, ACCESSORY &amp; PARTS, PARAFUSOS, DEFECTIVE ADJUSTMENT, CONJUNTO DO MOTOR DE GIRO COM PARAFUSOS  </t>
  </si>
  <si>
    <t>CONJUNTO DO MOTOR DE GIRO COM PARAFUSOS</t>
  </si>
  <si>
    <t>Após reinstalado o conjunto e realizado a montagem e usado o torque recomendado, foi testado e colocado o equipamento para para trabalhar. Onde trabalhou normalmente sem nenhum problema aparente.</t>
  </si>
  <si>
    <t>KBIPR202403515</t>
  </si>
  <si>
    <t xml:space="preserve">PC130LC-10M0, ARM, lança, BROKEN, BRAÇO RACHADO NA SOLDA  </t>
  </si>
  <si>
    <t>BRAÇO RACHADO NA SOLDA</t>
  </si>
  <si>
    <t>O equipamento ainda esta no período de garantia, mas ainda sim preferimos esperar o retorno da fabrica para nos orientar sobre a correção da falha. Já que não identificamos nada que possa ter contribuído para essas trincas na solda, e o equipamento opera aproximadamente 84% em trabalho leve e muito leve conforme o mapa de carga aponta.</t>
  </si>
  <si>
    <t>KBIPR202403517</t>
  </si>
  <si>
    <t xml:space="preserve">PC130LC-10M0, ACCESSORY &amp; PARTS, CONTROLADORA DO MOTOR, MALFUNCTION, COD. DWK2KA E DWK2KB - CONTROL. DA BOMBA  </t>
  </si>
  <si>
    <t>COD. DWK2KA E DWK2KB - CONTROL. DA BOMBA</t>
  </si>
  <si>
    <t>Cliente não possuí MMK, mas realiza revisões SPOT conosco. Solicitamos orientação da fábrica pois o equipamento esta for a da garantia padrão, porem esta com o horímetro baixo para apresentar um possível problema na controladora. Diante desse fato pedimos para nos orientar em como estar resolvendo essa falha para resolver o problema junto ao cliente que demonstra muita preocupação pelo fato para ele a maquina ainda ser nova.</t>
  </si>
  <si>
    <t>KBISP202404504</t>
  </si>
  <si>
    <t>KBIRS202404503</t>
  </si>
  <si>
    <t xml:space="preserve">PC130LC-10M0, HYDRAULIC CONTROL VALVE, DISCO DE FREIO, MALFUNCTION, FALHA NO FREIO DO MOTOR DE GIRO  </t>
  </si>
  <si>
    <t>FALHA NO FREIO DO MOTOR DE GIRO</t>
  </si>
  <si>
    <t>706-7C-91220</t>
  </si>
  <si>
    <t>KBISP202404505</t>
  </si>
  <si>
    <t xml:space="preserve">PC130LC-10M0, ARM, Braço, ENTER/LEAKS, Trinca na solda base do pino do cilindro  </t>
  </si>
  <si>
    <t>B20288</t>
  </si>
  <si>
    <t>Trinca na solda base do pino do cilindro</t>
  </si>
  <si>
    <t xml:space="preserve">PC130LC-10M0, ARM, Braço, ENTER/LEAKS,   </t>
  </si>
  <si>
    <t>204-70-00480</t>
  </si>
  <si>
    <t>Please, we need to investigate this failure that occurred in the machine that was introduced within 1 year in the market.</t>
  </si>
  <si>
    <t>KBIPE202404501</t>
  </si>
  <si>
    <t xml:space="preserve">PC130LC-10M0, ACCESSORY &amp; PARTS, Dobradica grade condesador, DEFECTIVE ADJUSTMENT,   </t>
  </si>
  <si>
    <t>B20268</t>
  </si>
  <si>
    <t>Dobradica grade condesador</t>
  </si>
  <si>
    <t>NAO IDENTIFICAMOS ACAO POR AGENTE EXTERNO QUE PUDESSE OCASIONAR EMPENO OU DADO NAS DOBRADICAS. NOS LEVANDO A ENTEDER QUE E UMA FALHA NO PRODUTO</t>
  </si>
  <si>
    <t>KBISP202404507</t>
  </si>
  <si>
    <t xml:space="preserve">PC130LC-10M0, BOOM, PLATE, DEFORMATION,   </t>
  </si>
  <si>
    <t>B20325</t>
  </si>
  <si>
    <t>KBIMB202404513</t>
  </si>
  <si>
    <t xml:space="preserve">PC130LC-10M0, TRACK ROLLER, ROLETE INFERIOR LD, MALFUNCTION, Rolete inferior travando  </t>
  </si>
  <si>
    <t>B20210</t>
  </si>
  <si>
    <t>Rolete inferior travando</t>
  </si>
  <si>
    <t>ROLETE INFERIOR LD</t>
  </si>
  <si>
    <t>KBISP202404511</t>
  </si>
  <si>
    <t xml:space="preserve">PC130LC-10M0, IDLER, support, DEFECTIVE ADJUSTMENT,   </t>
  </si>
  <si>
    <t>203-30-52112</t>
  </si>
  <si>
    <t>support</t>
  </si>
  <si>
    <t>KBIMB202404512</t>
  </si>
  <si>
    <t xml:space="preserve">PC130LC-10M0, ACCESSORY &amp; PARTS, silencioso, ABNOMAL NOISE, Silencioso assoviando  </t>
  </si>
  <si>
    <t>Silencioso assoviando</t>
  </si>
  <si>
    <t>silencioso</t>
  </si>
  <si>
    <t>AR CONDICIONADO NÃO FUNCIONA</t>
  </si>
  <si>
    <t>coxins</t>
  </si>
  <si>
    <t>KBISP202405503</t>
  </si>
  <si>
    <t xml:space="preserve">PC130LC-10M0, BUCKET(H/E BACKHOE), LIMK, WEAR/RUST/SCRATCHED(SURFACE),   </t>
  </si>
  <si>
    <t xml:space="preserve">PC130LC-10M0, BUCKET(H/E BACKHOE), LINK, WEAR/RUST/SCRATCHED(SURFACE), INTERFERENCE  </t>
  </si>
  <si>
    <t>203-70-54110</t>
  </si>
  <si>
    <t>LIMK</t>
  </si>
  <si>
    <t>KBISP202405502</t>
  </si>
  <si>
    <t xml:space="preserve">PC130LC-10M0, FINAL DRIVE, Sprocket, OPERATIONAL COMPLAINT,   </t>
  </si>
  <si>
    <t>B20293</t>
  </si>
  <si>
    <t>2A3-27-11310</t>
  </si>
  <si>
    <t>Sprocket</t>
  </si>
  <si>
    <t>KBISP202405501</t>
  </si>
  <si>
    <t xml:space="preserve">PC130LC-10M0, BUCKET(H/E BACKHOE), LINK, WEAR/RUST/SCRATCHED(SURFACE),   </t>
  </si>
  <si>
    <t>KBIPE202405500</t>
  </si>
  <si>
    <t xml:space="preserve">PC130LC-10M0, OTHERS, DOBRADIÇA, DEFECTIVE ADJUSTMENT, DESGASTE NA DOBRADIÇA DO SUP. DO CONDENS  </t>
  </si>
  <si>
    <t>DESGASTE NA DOBRADIÇA DO SUP. DO CONDENS</t>
  </si>
  <si>
    <t>DOBRADIÇA</t>
  </si>
  <si>
    <t>KBISP202405512</t>
  </si>
  <si>
    <t xml:space="preserve">PC130LC-10M0, ACCESSORY &amp; PARTS, MUFFLER, MALFUNCTION, FOLGA INTERNA NO MIOLO DO MUFFLER  </t>
  </si>
  <si>
    <t>FOLGA INTERNA NO MIOLO DO MUFFLER</t>
  </si>
  <si>
    <t>KBISP202312527</t>
  </si>
  <si>
    <t xml:space="preserve">PC130LC-10M0, ACCESSORY &amp; PARTS, PIN, SCORED,   </t>
  </si>
  <si>
    <t>Franciele Ferreira</t>
  </si>
  <si>
    <t>KBISP202406505</t>
  </si>
  <si>
    <t xml:space="preserve">PC130LC-10M0, CAB ASS'Y GROUP, COXIM, MALFUNCTION,   </t>
  </si>
  <si>
    <t>KBI1F202406503</t>
  </si>
  <si>
    <t xml:space="preserve">PC130LC-10M0, ACCESSORY &amp; PARTS, PLACA, LOOSEN, PLACA DE FIXAÇÃO CILINDRO DA LANÇA  </t>
  </si>
  <si>
    <t>PLACA DE FIXAÇÃO CILINDRO DA LANÇA</t>
  </si>
  <si>
    <t>KBISP202312525</t>
  </si>
  <si>
    <t xml:space="preserve">PC130LC-10M0, ACCESSORY &amp; PARTS, PIN, WEAR/RUST/SCRATCHED(SURFACE),   </t>
  </si>
  <si>
    <t>22B-70-2255</t>
  </si>
  <si>
    <t>PRIMEIRA DATA DO CLIENTE</t>
  </si>
  <si>
    <t>KBISP202406511</t>
  </si>
  <si>
    <t xml:space="preserve">PC130LC-10M0, ARM, ARM, CRACK, TRINCA NA SOLDA DO BRAÇO  </t>
  </si>
  <si>
    <t>TRINCA NA SOLDA DO BRAÇO</t>
  </si>
  <si>
    <t>CLIENTE POSSUI DOIS EQUIPAMENTOS KOMATSU</t>
  </si>
  <si>
    <t>KBISP202406510</t>
  </si>
  <si>
    <t>Matheus Igreja</t>
  </si>
  <si>
    <t>KBISP202406516</t>
  </si>
  <si>
    <t xml:space="preserve">PC130LC-10M0, ARM, ARM, DETERIORATION, EMBUCHAMENTO  </t>
  </si>
  <si>
    <t>B20254</t>
  </si>
  <si>
    <t>EQUIPAMENTO UTILIZA GRAXA KOMATSU</t>
  </si>
  <si>
    <t>KBIMB202406510</t>
  </si>
  <si>
    <t xml:space="preserve">PC130LC-10M0, CAB ASS'Y GROUP, coxins, MALFUNCTION, coxins avariados  </t>
  </si>
  <si>
    <t>B20241</t>
  </si>
  <si>
    <t>coxins avariados</t>
  </si>
  <si>
    <t>QUALIDADE DE ACABAMENTO</t>
  </si>
  <si>
    <t>Reforçamos e alertamos a necessidade de uma inspeção no equipamento antes do carregamento e saída do estoque para o distribuidor. Visto que tem equipamentos que já saem direcionados a serem entregues ao cliente e não tendo tempo hábil para certos consertos de falhas.</t>
  </si>
  <si>
    <t>KBIPR202406511</t>
  </si>
  <si>
    <t xml:space="preserve">PC130LC-10M0, OTHERS, CONTRA PESO, DEFECTIVE APPEARANCE, QUALIDADE DE ACABAMENTO  </t>
  </si>
  <si>
    <t>KBIPE202406501</t>
  </si>
  <si>
    <t xml:space="preserve">PC130LC-10M0, AIR CONDITIONER, Suporte, BROKEN,   </t>
  </si>
  <si>
    <t>B20344</t>
  </si>
  <si>
    <t>204-979-7730</t>
  </si>
  <si>
    <t>Equipamento em local de risco, realizamos reparo paliativo da cordoaria para movimentação e estacionamento em local seguro, não identificamos ação por agente externo que pudesse ocasionar danos da estrutura do suporte de ar condicionado e pelas característica entendemos que foi falha de produto.</t>
  </si>
  <si>
    <t>KBIPR202407502</t>
  </si>
  <si>
    <t xml:space="preserve">PC130LC-10M0, TRACK ROLLER, ROLETE, ENTER/LEAKS, Falha em rolete inferior Esquerdo  </t>
  </si>
  <si>
    <t>B20235</t>
  </si>
  <si>
    <t>Falha em rolete inferior Esquerdo</t>
  </si>
  <si>
    <t>TENDO EM VISTA AS OBSERVAÇÕES É POSSIVEL CONCLUIR QUE A FALHA FOI DO CONJUNTO DE ROLETE INFERIOR, DEVIDO AO VAZAMENTO DE ÓLEO QUE NÃO FOI OBSERVADO DURANTE A OPERAÇÃO E VEIO A PROVOCAR FALHAS NO MESMO. EQUIPAMENTO POSSUI CONTRATO DE MANUTENÇÃO.</t>
  </si>
  <si>
    <t>KBIPR202407509</t>
  </si>
  <si>
    <t xml:space="preserve">PC130-10M0, OTHERS, PINTURA, WEAR/RUST/SCRATCHED(SURFACE), AVARIAS NA PINTURA E ACABAMENTO - QUALI  </t>
  </si>
  <si>
    <t>PC130-10M0</t>
  </si>
  <si>
    <t>B20431</t>
  </si>
  <si>
    <t>AVARIAS NA PINTURA E ACABAMENTO - QUALI</t>
  </si>
  <si>
    <t>REGISTRAMOS E REFORÇAMOS A NECESSIDADE DE UMA INSPEÇÃAO EM RELAÇÃO A QUALIDADE DE ACABAMENTO AO SAIR PARA TRANSPORTE. SABEMOS QUE EXISTE FALHAS QUE PODEM OCORRER NO TRANAPORTE , PELO TEMPO EM ESTOCAGEM. MAS ESSAS NO PROCESSO DE FABRICAAÇÃO DEVERIA SIM PASSAR POR UMA VISTORIA CRITERIOSA AFIM DE CONTROLE DE QUALIDADE. POR ISSO RELATAMOS E EVIDENCIAMOS AS FALHAS SEMPRE COM O INTUIDO DE BUSCAR UMA MELHORIA.</t>
  </si>
  <si>
    <t>KBIPR202407508</t>
  </si>
  <si>
    <t xml:space="preserve">PC130-10M0, OTHERS, CHASSI INFERIOR, WEAR/RUST/SCRATCHED(SURFACE), AVARIA PINTURA -  </t>
  </si>
  <si>
    <t>AVARIA PINTURA -</t>
  </si>
  <si>
    <t>CHASSI INFERIOR</t>
  </si>
  <si>
    <t>EQUIPAMENTO APRESENTA FALHA NA PINTURA NA PEÇA INTEIRA COMO APRESENTA NA FOTO EXPOSTA NA TSI. ONDE HOUVE A NECESSIDADE DE REALIZAR O REPARO, PARA DEIXAR O EQUIPAMENTO EM PERFEITA CONDIÇÕES PARA SER ENTREGUE AO CLIENTE..</t>
  </si>
  <si>
    <t>KBIPR202407512</t>
  </si>
  <si>
    <t xml:space="preserve">PC130LC-10M0, KOMTRAX ASSY, CONTROLADORA, MALFUNCTION, KOMTRAX NÃO COMUNICA  </t>
  </si>
  <si>
    <t>KOMTRAX NÃO COMUNICA</t>
  </si>
  <si>
    <t>7826-60-1001</t>
  </si>
  <si>
    <t>Após a substituição conforme orientação da fábrica nós abriremos um chamado para o ICT e informaremos os dados da PN e serial de ambos as controladoras, a que saiu da máquina e a controladora que foi instalada. Para com essas informações fazerem as alterações do registro no sistema e então aguardaremos um prazo de 07 dias para a máquina voltar a comunicar.
PN VELHA 7826-60-1001 / 064437
PN NOVA 7826-60-1002 / 113644</t>
  </si>
  <si>
    <t>KBI1F202407502</t>
  </si>
  <si>
    <t xml:space="preserve">PC130LC-10M0, ELECTRICAL SYSTEM, TERMINAL R01-T08 RELÉ DA BATERIA, DEFECTIVE ADJUSTMENT, CÓD. ERRO - DA22K E D19JKZ  </t>
  </si>
  <si>
    <t>B20387</t>
  </si>
  <si>
    <t>CÓD. ERRO - DA22K E D19JKZ</t>
  </si>
  <si>
    <t>x</t>
  </si>
  <si>
    <t>TERMINAL R01-T08 RELÉ DA BATERIA</t>
  </si>
  <si>
    <t>DECALQUE</t>
  </si>
  <si>
    <t>Ronaldo Braz</t>
  </si>
  <si>
    <t>KBISP202407503</t>
  </si>
  <si>
    <t xml:space="preserve">PC130LC-10M0, HYDRAULIC PIPING(1), MANGUEIRA, OPERATIONAL COMPLAINT,   </t>
  </si>
  <si>
    <t>204-62-73170</t>
  </si>
  <si>
    <t>KBISP202407504</t>
  </si>
  <si>
    <t xml:space="preserve">PC130LC-10M0, ENGINE ASSY, ENGINE, MALFUNCTION,   </t>
  </si>
  <si>
    <t>B20281</t>
  </si>
  <si>
    <t>SAA4D95LE5</t>
  </si>
  <si>
    <t>Foi efetuado o corte nos bicos injetores e identificado que o 4° cilindro estava falhando.
Após identificado que o 4° cilindro estava falhando efetuamos a verificação com uma sonda para identificar a parte de dentro do cilindro, identificamos que a cabeça do cilindro estava com excesso de óleo.
Foi removido bicos, bomba e o Common-rail para teste e não foi identificado nenhuma anormalidade nos componentes. 
Foi efetuado testes de pressão e não foi identificado baixa pressão no sistema.
Equipamento não apresentou código de falha para esse defeito.</t>
  </si>
  <si>
    <t>KBISP202407506</t>
  </si>
  <si>
    <t xml:space="preserve">PC130LC-10M0, ALTERNATOR, REGULADOR DE VOLTAGEM, MALFUNCTION,   </t>
  </si>
  <si>
    <t>KBIPR202407524</t>
  </si>
  <si>
    <t xml:space="preserve">PC130LC-10M0, HYDRAULIC CYLINDER, CILINDRO DA CAÇAMBA, ENTER/LEAKS, CILINDRO DA CAÇAMBA COM VAZAMENTO  </t>
  </si>
  <si>
    <t>B20394</t>
  </si>
  <si>
    <t>CILINDRO DA CAÇAMBA COM VAZAMENTO</t>
  </si>
  <si>
    <t>707-13-95230</t>
  </si>
  <si>
    <t>CILINDRO DA CAÇAMBA</t>
  </si>
  <si>
    <t>Durante o nosso diagnostico e como poderá ser visto no vídeo em anexo, não foram encontrados danos na haste do cilindro.</t>
  </si>
  <si>
    <t>KBISP202407510</t>
  </si>
  <si>
    <t xml:space="preserve">PC130LC-10M0, OTHERS, ANTICONGELANTE, HIGH/LOW LEVEL,   </t>
  </si>
  <si>
    <t>KBIPR202408503</t>
  </si>
  <si>
    <t xml:space="preserve">PC130LC-10M0, ACCESSORY &amp; PARTS, TAMPA PROTEÇÃO CILINDRO, DEFECTIVE ADJUSTMENT, TAMPA DO CILINDRO SOLTOU  </t>
  </si>
  <si>
    <t>TAMPA DO CILINDRO SOLTOU</t>
  </si>
  <si>
    <t>TAMPA PROTEÇÃO CILINDRO</t>
  </si>
  <si>
    <t>Foi necessário confeccionar a peça conforme referência 22B-70-21920 pois não tinhamos em estoque, a fábrica não tinha disponivel e o equipamento estava parado, e precisavamos liberar o equipamento  a pedido do cliente.
Na primeira visita para montage, o técnico aplicou 3 calços conforme catálogo de peças e conforme estava montado do outro lado.
Na Segunda visita o técnico foi investigar o porque estava frouxando os parafusos e percebeu que o conjunto estava muito apertado, verificamos o manual de serviço e é necessário ter uma folga, então foi removido 1 calço de cada lado. 
Acompanhamos por alguns dias com o cliente e não voltou mais a frouxar.</t>
  </si>
  <si>
    <t>KBISP202408504</t>
  </si>
  <si>
    <t xml:space="preserve">PC130LC-10M0, HYDRAULIC CYLINDER, vedações cilindro, MALFUNCTION,   </t>
  </si>
  <si>
    <t>721-98-01850</t>
  </si>
  <si>
    <t>vedações cilindro</t>
  </si>
  <si>
    <t>DENTE DA CAÇAMBA QUEBRADO</t>
  </si>
  <si>
    <t>B20730</t>
  </si>
  <si>
    <t>KBIMB202408520</t>
  </si>
  <si>
    <t xml:space="preserve">PC130LC-10M0, FUEL TANK GROUP, INJECTOR ASSEMBLY, DEFECTIVE APPEARANCE, BICOS INJETORES TRAVADOS  </t>
  </si>
  <si>
    <t>B20426</t>
  </si>
  <si>
    <t>BICOS INJETORES TRAVADOS</t>
  </si>
  <si>
    <t>INJECTOR ASSEMBLY</t>
  </si>
  <si>
    <t>12/30/1899</t>
  </si>
  <si>
    <t>turbina</t>
  </si>
  <si>
    <t>KBI9A202409503</t>
  </si>
  <si>
    <t xml:space="preserve">PC130LC-10M0, OTHERS, Interruptor de pressão de óleo, MALFUNCTION, Baixa pressão de óleo do motor.  </t>
  </si>
  <si>
    <t>B20179</t>
  </si>
  <si>
    <t>Baixa pressão de óleo do motor.</t>
  </si>
  <si>
    <t>Interruptor de pressão de óleo</t>
  </si>
  <si>
    <t>Durante o diagnóstico do motor da escavadeira, foi identificada uma falha relacionada à baixa pressão de óleo, juntamente com a falha no interruptor de pressão do sistema. A baixa pressão de óleo pode resultar em danos ao motor e à lubrificação inadequada dos componentes internos, enquanto a falha no
interruptor de pressão pode comprometer a detecção e o monitoramento adequado da pressão do óleo.
1. O motor da escavadeira não apresenta baixa pressão de óleo, indicada por alertas no painel de instrumentos e medições realizadas via manômetro que indicou uma pressão 5 BAR a 1500 rpm 82°C atendendo as especificações do manual de oficina komatsu
2. Foi identificada uma falha no interruptor de pressão do sistema de óleo, afetando a detecção e a transmissão dos dados de pressão para o painel de controle.
Procedimento de Diagnóstico Realizado:
1. Verificação visual do sistema de óleo para identificar vazamentos, obstruções ou danos nos componentes.
2. Teste de pressão de óleo para confirmar a baixa pressão e avaliar a condição do sistema de lubrificação.
3. Inspeção do interruptor de pressão para verificar sua integridade e funcionamento correto, incluindo testes de continuidade elétrica.</t>
  </si>
  <si>
    <t>KBIPR202409503</t>
  </si>
  <si>
    <t xml:space="preserve">PC130LC-10M0, OTHERS, MANGUEIRA JOYSTICK, ENTER/LEAKS, MANGUEIRA JOYSTICK COM VAZAMENTO  </t>
  </si>
  <si>
    <t>MANGUEIRA JOYSTICK COM VAZAMENTO</t>
  </si>
  <si>
    <t>MANGUEIRA JOYSTICK</t>
  </si>
  <si>
    <t>Após o reaperto da mangueira acompanhamos o equipamento por um período em operação e o mesmo ficou em condições de uso.</t>
  </si>
  <si>
    <t>KBIMB202409504</t>
  </si>
  <si>
    <t xml:space="preserve">PC130LC-10M0, ARM, ARM, BROKEN, TRINCA NA SOLDA DO BRAÇO  </t>
  </si>
  <si>
    <t>B20198</t>
  </si>
  <si>
    <t>KBISP202409504</t>
  </si>
  <si>
    <t xml:space="preserve">PC130LC-10M0, ENGINE ASSY, MUFFLER, BROKEN,   </t>
  </si>
  <si>
    <t>Cliente com todas as revisões feitas no distribuidor.</t>
  </si>
  <si>
    <t>KBISP202409505</t>
  </si>
  <si>
    <t xml:space="preserve">PC130LC-10M0, ARM, pin, BROKEN,   </t>
  </si>
  <si>
    <t>203-70-42122</t>
  </si>
  <si>
    <t>pin</t>
  </si>
  <si>
    <t>KBI1F202409506</t>
  </si>
  <si>
    <t xml:space="preserve">PC130LC-10M0, OTHERS, TURBINA, DEFECTIVE APPEARANCE, DESGASTE EXCESSIVO NA TURBINA  </t>
  </si>
  <si>
    <t>DESGASTE EXCESSIVO NA TURBINA</t>
  </si>
  <si>
    <t>KBIPR202409505</t>
  </si>
  <si>
    <t xml:space="preserve">PC130-10M0, OTHERS, TANQUE DIESEL, OTHER, TANQUE COM CONTAMINAÇÃO  </t>
  </si>
  <si>
    <t>TANQUE COM CONTAMINAÇÃO</t>
  </si>
  <si>
    <t>204-04-B1010</t>
  </si>
  <si>
    <t>Realizamos coleta do diesel e enviado para análise em laboratório. Após retorno na Oficina, abrimos o filtro primário para inspeção visual, e constatamos presença de limalhas no interior do filtro.
O cliente não possui central de abastecimento e realiza abastecimentos com transferência por galões.</t>
  </si>
  <si>
    <t>cabine</t>
  </si>
  <si>
    <t>KBIPR202409508</t>
  </si>
  <si>
    <t xml:space="preserve">PC130-10M0, AIR CONDITIONER, AR CONDIONADO, MALFUNCTION, AR CONDICIONADO NÃO FUNCIONA  </t>
  </si>
  <si>
    <t>B20463</t>
  </si>
  <si>
    <t>AR CONDIONADO</t>
  </si>
  <si>
    <t>Após realizado o reparo da falha acompanhamos o equipamento por um período e o mesmo ficou com o ar condicionado em pleno funcionamento.</t>
  </si>
  <si>
    <t>KBIPR202409507</t>
  </si>
  <si>
    <t xml:space="preserve">PC130LC-10M0, ACCESSORY &amp; PARTS, VÁLVULA, MALFUNCTION, VÁLVULA SOLENOIDE COM FIO ROMPIDO  </t>
  </si>
  <si>
    <t>VÁLVULA SOLENOIDE COM FIO ROMPIDO</t>
  </si>
  <si>
    <t>VÁLVULA</t>
  </si>
  <si>
    <t>Realizamos a substituição da eletro válvula limpamos códigos de falha e testamos o equipamento e o equipamento funcionou normalmente.</t>
  </si>
  <si>
    <t>KBISP202409512</t>
  </si>
  <si>
    <t xml:space="preserve">PC130LC-10M0, ELECTRONIC CONTROLLER, Controladora da bomba, MALFUNCTION, Maquina perdendo potência  </t>
  </si>
  <si>
    <t>Maquina perdendo potência</t>
  </si>
  <si>
    <t>Controladora da bomba</t>
  </si>
  <si>
    <t>KBI1F202409512</t>
  </si>
  <si>
    <t xml:space="preserve">PC130LC-10M0, TRACK ROLLER, ROLETE, DEFECTIVE APPEARANCE,   </t>
  </si>
  <si>
    <t>B20380</t>
  </si>
  <si>
    <t>KBISP202409518</t>
  </si>
  <si>
    <t xml:space="preserve">PC130LC-10M0, RADIATOR GROUP, Liquido de arrefecimento, HIGH/LOW LEVEL, Baixo nível do liquido de arrefecimento  </t>
  </si>
  <si>
    <t>B20532</t>
  </si>
  <si>
    <t>Baixo nível do liquido de arrefecimento</t>
  </si>
  <si>
    <t>KBISP202409528</t>
  </si>
  <si>
    <t xml:space="preserve">PC130LC-10M0, SWING CIRCLE, Mangueira, ENTER/LEAKS, MANGUEIRA SEM TORQUE  </t>
  </si>
  <si>
    <t>MANGUEIRA SEM TORQUE</t>
  </si>
  <si>
    <t>22B-62-21940</t>
  </si>
  <si>
    <t>KBISP202409527</t>
  </si>
  <si>
    <t xml:space="preserve">PC130LC-10M0, BATTERY, BATERIA, HIGH/LOW LEVEL,   </t>
  </si>
  <si>
    <t>KBIMB202410500</t>
  </si>
  <si>
    <t xml:space="preserve">PC130LC-10M0, BATTERY, bateria, MALFUNCTION, BATERIA NÃO SEGURANDO CARGA  </t>
  </si>
  <si>
    <t>Com base nas informações, concluo que trata-se de uma falha de produto.
Devido as baterias estarem zeradas, possivelmente as baterias não estão segurando carga.
Foi necessario dar uma carga nas baterias.</t>
  </si>
  <si>
    <t>KBIMB202410506</t>
  </si>
  <si>
    <t xml:space="preserve">PC130LC-10M0, SPROCKET, Roda motriz, WEAR/RUST/SCRATCHED(SURFACE),   </t>
  </si>
  <si>
    <t>B20352</t>
  </si>
  <si>
    <t>Com base nas informações, concluo que trata-se de uma possível falha de produto.
Podemos observar que o material rodante apresenta características de novo, sem muitas marcações de desgaste. Não apresenta desgaste no material rodante.
Equipamento com baixo horimetro e possui contrato de manutenção com o distribuidor então sempre analisamos o equipamento nas preventivas.</t>
  </si>
  <si>
    <t>KBISP202410503</t>
  </si>
  <si>
    <t>B20456</t>
  </si>
  <si>
    <t>KBIMB202410508</t>
  </si>
  <si>
    <t xml:space="preserve">PC130LC-10M0, ACCESSORY &amp; PARTS, TURBOCHARGER, DEFECTIVE APPEARANCE, QUEBRA PALHETAS TURBINA  </t>
  </si>
  <si>
    <t>QUEBRA PALHETAS TURBINA</t>
  </si>
  <si>
    <t>KBISP202409519</t>
  </si>
  <si>
    <t xml:space="preserve">PC130LC-10M0, ARM, pin, DETERIORATION,   </t>
  </si>
  <si>
    <t>KBISP202410512</t>
  </si>
  <si>
    <t xml:space="preserve">PC130LC-10M0, ARM, Mangueira de acionamento, ENTER/LEAKS, MALEJAMENTO NA MANGUEIRA DE ACIONAMENTO  </t>
  </si>
  <si>
    <t>MALEJAMENTO NA MANGUEIRA DE ACIONAMENTO</t>
  </si>
  <si>
    <t>204-62-72341</t>
  </si>
  <si>
    <t>Mangueira de acionamento</t>
  </si>
  <si>
    <t>KBIMB202410514</t>
  </si>
  <si>
    <t xml:space="preserve">PC130LC-10M0, AIR CONDITIONER, CONDENSER, MALFUNCTION, TRINCA NA SOLDA DA CONDENSADORA  </t>
  </si>
  <si>
    <t>TRINCA NA SOLDA DA CONDENSADORA</t>
  </si>
  <si>
    <t>CONDENSER</t>
  </si>
  <si>
    <t>KBIPR202410508</t>
  </si>
  <si>
    <t xml:space="preserve">PC130-10M0, ACCESSORY &amp; PARTS, TAMPA DA PROTEÇÃO, DEFECTIVE ADJUSTMENT, TAMPA DO PINO DOS CILINDROS FROUXAS  </t>
  </si>
  <si>
    <t>TAMPA DO PINO DOS CILINDROS FROUXAS</t>
  </si>
  <si>
    <t>TAMPA DA PROTEÇÃO</t>
  </si>
  <si>
    <t>O serviço foi realizado durante a primeira inspeção obrigatória, e a elaboração da TSI é para efeito de registro da falha.</t>
  </si>
  <si>
    <t>KBI1F202410504</t>
  </si>
  <si>
    <t xml:space="preserve">PC130LC-10M0, CAB ASS'Y GROUP, TETO, DEFECTIVE ADJUSTMENT,   </t>
  </si>
  <si>
    <t>B20527</t>
  </si>
  <si>
    <t>TETO</t>
  </si>
  <si>
    <t>KBIMB202410515</t>
  </si>
  <si>
    <t xml:space="preserve">PC130-10M0, ENGINE ASSY, turbina, ENTER/LEAKS, folga axial e passagem de óleo  </t>
  </si>
  <si>
    <t>B20430</t>
  </si>
  <si>
    <t>folga axial e passagem de óleo</t>
  </si>
  <si>
    <t>KBI1F202410505</t>
  </si>
  <si>
    <t xml:space="preserve">PC130-10M0, CAB ASS'Y GROUP, TETO DA CABINE, DEFECTIVE ADJUSTMENT,   </t>
  </si>
  <si>
    <t>TETO DA CABINE</t>
  </si>
  <si>
    <t>KBISP202410520</t>
  </si>
  <si>
    <t xml:space="preserve">PC130LC-10M0, ACCESSORY &amp; PARTS, cover, DEFECTIVE APPEARANCE, ARRANHÕES NO INTERIOR DA CABINE  </t>
  </si>
  <si>
    <t>ARRANHÕES NO INTERIOR DA CABINE</t>
  </si>
  <si>
    <t>20Y-53-12122</t>
  </si>
  <si>
    <t>cover</t>
  </si>
  <si>
    <t>KBISP202410523</t>
  </si>
  <si>
    <t>723-40-74300</t>
  </si>
  <si>
    <t>Válvula auto redutora</t>
  </si>
  <si>
    <t>B20787</t>
  </si>
  <si>
    <t>KBIPR202411500</t>
  </si>
  <si>
    <t xml:space="preserve">PC130-10M0, ACCESSORY &amp; PARTS, PINO, DEFECTIVE ADJUSTMENT, DESGASTE NOS COMPONENTES DE ARTICULAÇÃO  </t>
  </si>
  <si>
    <t>DESGASTE NOS COMPONENTES DE ARTICULAÇÃO</t>
  </si>
  <si>
    <t>Não realizamos as medidas de conferência de alinhamento de olhais devido ao ferramental e experiência necessária para tal. Será necessário contratar um serviço de usinagem para verificação de medidas de alojamentos e concentricidade de olhais e também para mandrilhamento dos olhais da lança.</t>
  </si>
  <si>
    <t>KBISP202411500</t>
  </si>
  <si>
    <t xml:space="preserve">PC130LC-10M0, BOOM, Parafuso da bolacha de fixação do cilindro da lança do lado esquerdo, DEFECTIVE ADJUSTMENT, Parafusos da bolacha de fixação soltos  </t>
  </si>
  <si>
    <t>Parafusos da bolacha de fixação soltos</t>
  </si>
  <si>
    <t>Parafuso da bolacha de fixação do cilindro da lança do lado esquerdo</t>
  </si>
  <si>
    <t>600-311-3724</t>
  </si>
  <si>
    <t>KBIMB202411505</t>
  </si>
  <si>
    <t xml:space="preserve">PC130LC-10M0, MACHINE, WEIGHT, DEFECTIVE APPEARANCE, FALHA NA PINTURA  </t>
  </si>
  <si>
    <t>KBI1F202411507</t>
  </si>
  <si>
    <t xml:space="preserve">PC130LC-10M0, OTHERS, PARAFUSO, OTHER, TAMPA DO CILINDRO  </t>
  </si>
  <si>
    <t>TAMPA DO CILINDRO</t>
  </si>
  <si>
    <t xml:space="preserve">PC130LC-10M0, OTHERS, PARAFUSO, OTHER,   </t>
  </si>
  <si>
    <t>01643-31445</t>
  </si>
  <si>
    <t>KBIPR202411511</t>
  </si>
  <si>
    <t xml:space="preserve">PC130LC-10M0, ACCESSORY &amp; PARTS, CHICOTE, DEFECTIVE APPEARANCE, FIO CHICOTE DA BUZINA ROMPIDO  </t>
  </si>
  <si>
    <t>B20487</t>
  </si>
  <si>
    <t>FIO CHICOTE DA BUZINA ROMPIDO</t>
  </si>
  <si>
    <t>204-06-72233</t>
  </si>
  <si>
    <t>Para corrigir a falha sem interferência de corte do chicote seria necessário a troca do chicote completo, pois o fio rompido está do lado do conector do chicote e não no botão da buzina. Acreditamos na possibilidade de  realizar o reparo aplicando um conector macho + fêmea paralelo, pois não há disponibilidade de compra apenas do conector original.  Mas para essa possibilidade precisamos do parecer da Fabrica.</t>
  </si>
  <si>
    <t>KBISP202411516</t>
  </si>
  <si>
    <t xml:space="preserve">PC130LC-10M0, OTHERS, MUFFLER, ABNOMAL NOISE, RUÍDO ANORMAL - SILENCIOSO  </t>
  </si>
  <si>
    <t>B20368</t>
  </si>
  <si>
    <t>RUÍDO ANORMAL - SILENCIOSO</t>
  </si>
  <si>
    <t>KBISP202411515</t>
  </si>
  <si>
    <t xml:space="preserve">PC130LC-10M0, ARM, pin, OTHER,   </t>
  </si>
  <si>
    <t>22b-70-22550</t>
  </si>
  <si>
    <t>KBIMB202411511</t>
  </si>
  <si>
    <t xml:space="preserve">PC130LC-10M0, HYDRAULIC CONTROL VALVE, BOOM CYLINDER, ENTER/LEAKS, CAIMENTO HIDRÁULICO - LANÇA  </t>
  </si>
  <si>
    <t>CAIMENTO HIDRÁULICO - LANÇA</t>
  </si>
  <si>
    <t>707-G1-X1710</t>
  </si>
  <si>
    <t>KBI1F202411510</t>
  </si>
  <si>
    <t xml:space="preserve">PC130LC-10M0, BOOM, TAMPA, DEFECTIVE APPEARANCE,   </t>
  </si>
  <si>
    <t>22B-70-21930</t>
  </si>
  <si>
    <t>KBI1F202411509</t>
  </si>
  <si>
    <t xml:space="preserve">PC130LC-10M0, CAB ASS'Y GROUP, RESERVATORIO, MALFUNCTION,   </t>
  </si>
  <si>
    <t>B20493</t>
  </si>
  <si>
    <t>21T-06-11350</t>
  </si>
  <si>
    <t>Vinícius Barbosa</t>
  </si>
  <si>
    <t>KBI1F202412503</t>
  </si>
  <si>
    <t xml:space="preserve">PC130LC-10M0, ACCESSORY &amp; PARTS, SEM PECA, DEFECTIVE APPEARANCE, TINTA DESCASCANDO  </t>
  </si>
  <si>
    <t>TINTA DESCASCANDO</t>
  </si>
  <si>
    <t>KBI1F202412501</t>
  </si>
  <si>
    <t xml:space="preserve">PC130-10M0, OTHERS, CONECTOR, OTHER, EQUIPAMENTO NÃO ACIONA BUZINA  </t>
  </si>
  <si>
    <t>EQUIPAMENTO NÃO ACIONA BUZINA</t>
  </si>
  <si>
    <t>CONECTOR</t>
  </si>
  <si>
    <t>Chave</t>
  </si>
  <si>
    <t>Arm Assembly</t>
  </si>
  <si>
    <t>KBISP202412508</t>
  </si>
  <si>
    <t xml:space="preserve">PC130LC-10M0, HYDRAULIC CONTROL VALVE, 02896-61018, BROKEN,   </t>
  </si>
  <si>
    <t>KBIPR202412519</t>
  </si>
  <si>
    <t xml:space="preserve">PC130LC-10M0, ACCESSORY &amp; PARTS, CHICOTE, DEFECTIVE ADJUSTMENT, CONECTOR DA BUZINA COM FIO ROMPIDO  </t>
  </si>
  <si>
    <t>CONECTOR DA BUZINA COM FIO ROMPIDO</t>
  </si>
  <si>
    <t>Foi realizado ação corretiva conforme solução sugerida na TSI-KBIPR202411511 e autorizada conforme chamado 1124-003979. Onde o equipamento apresentou a mesma falha em questão.</t>
  </si>
  <si>
    <t>KBIMB202412512</t>
  </si>
  <si>
    <t xml:space="preserve">PC130LC-10M0, HYDRAULIC CONTROL VALVE, ACCUMULATOR, DEFECTIVE APPEARANCE, Acumulador hidráulico sem funcionamento  </t>
  </si>
  <si>
    <t>Acumulador hidráulico sem funcionamento</t>
  </si>
  <si>
    <t>ACCUMULATOR</t>
  </si>
  <si>
    <t>BUZINA NÃO FUNCIONA</t>
  </si>
  <si>
    <t>SEM PEÇA</t>
  </si>
  <si>
    <t>KBISP202502513</t>
  </si>
  <si>
    <t xml:space="preserve">PC130-10M0, ELECTRICAL SYSTEM, Sensor de pressão de libertação, INTERFERENCE,   </t>
  </si>
  <si>
    <t>B20466</t>
  </si>
  <si>
    <t>6252-11-2901</t>
  </si>
  <si>
    <t>Sensor de pressão de libertação</t>
  </si>
  <si>
    <t>DEFECTIVE PARTS</t>
  </si>
  <si>
    <t>KBI1F202502505</t>
  </si>
  <si>
    <t xml:space="preserve">PC130LC-10M0, AIR CONDITIONER, SERVO MOTOR, MALFUNCTION, AR CONDICIONADO NÃO FUNCIONA  </t>
  </si>
  <si>
    <t>B20442</t>
  </si>
  <si>
    <t>ND063800-0300</t>
  </si>
  <si>
    <t>KBISP202502511</t>
  </si>
  <si>
    <t xml:space="preserve">PC130LC-10M0, ENGINE ASSY, Retentor do virabrequim, ENTER/LEAKS, Retentor do virabrequim  </t>
  </si>
  <si>
    <t>Retentor do virabrequim</t>
  </si>
  <si>
    <t>6204-21-3531</t>
  </si>
  <si>
    <t>KBIMB202502503</t>
  </si>
  <si>
    <t xml:space="preserve">PC130-10M0, MAIN FRAME &amp; OUT-RIGGER, CONTRAPESO, ENTER/LEAKS, VAZAMENTO DO CONTRAPESO  </t>
  </si>
  <si>
    <t>VAZAMENTO DO CONTRAPESO</t>
  </si>
  <si>
    <t>Iremos aguardar um retorno da fabrica, referente a como devemos prosseguir com este caso.
Trata-se de uma possivel falha de produto.
Com base nas informações citadas acima, falha na fabricação do equipamento e inspeção antes da saida da fabrica.</t>
  </si>
  <si>
    <t>KBI1F202502503</t>
  </si>
  <si>
    <t xml:space="preserve">PC130LC-10M0, OTHERS, SEM PEÇA, OTHER, BUZINA NÃO FUNCIONA  </t>
  </si>
  <si>
    <t>KBIPR202501517</t>
  </si>
  <si>
    <t xml:space="preserve">PC130LC-10M0, SWING MOTOR, Motor de giro, Redutor de giro, ENTER/LEAKS, Maquina parada - Vazam. Motor de Giro  </t>
  </si>
  <si>
    <t>B20587</t>
  </si>
  <si>
    <t>Maquina parada - Vazam. Motor de Giro</t>
  </si>
  <si>
    <t>706-7C-01040, 203-26-80500</t>
  </si>
  <si>
    <t>Motor de giro, Redutor de giro</t>
  </si>
  <si>
    <t>Equipamento está parado no momento devido a falta de óleo hidráulico.</t>
  </si>
  <si>
    <t>KBISP202501522</t>
  </si>
  <si>
    <t xml:space="preserve">PC130LC-10M0, ENGINE ASSY, 6271-11-5230, MALFUNCTION,   </t>
  </si>
  <si>
    <t>KBISP202501521</t>
  </si>
  <si>
    <t>Primeira máquina do cliente ,  PMP até 2000 horas, Recentemente adquiriu mais um equipamento PC130LC-10M0</t>
  </si>
  <si>
    <t>KBISP202501503</t>
  </si>
  <si>
    <t xml:space="preserve">PC130LC-10M0, ELECTRICAL SYSTEM, Sensor, MALFUNCTION,   </t>
  </si>
  <si>
    <t>KBIPR202501507</t>
  </si>
  <si>
    <t xml:space="preserve">PC130LC-10M0, ACCESSORY &amp; PARTS, SILENCIOSO, ABNOMAL NOISE, RUÍDO NO SILENCIOSO  </t>
  </si>
  <si>
    <t>B20030</t>
  </si>
  <si>
    <t>RUÍDO NO SILENCIOSO</t>
  </si>
  <si>
    <t>ABNORMAL NOISE</t>
  </si>
  <si>
    <t>O equipamento não encontra mais dentro da garantia padrão. O cliente não tem contrato MMK para este equipamento, porém executa todas as revisões com a Vianmaq. O cliente questiona essa falha devido ao baixo horímetro.
Entendemos tratar-se de uma falha prematura, por isso solicitamos análise da Komatsu para uma possivel  concessão de garantia política para essa falha, e o cliente possui vários Equipamentos Komatsu.</t>
  </si>
  <si>
    <t>KBIPR202501501</t>
  </si>
  <si>
    <t xml:space="preserve">PC130LC-10M0, OTHERS, PINTURA, DEFECTIVE APPEARANCE, APONTAMENTOS DE QUALIDADE  </t>
  </si>
  <si>
    <t>APONTAMENTOS DE QUALIDADE</t>
  </si>
  <si>
    <t>O objetivo é relatar o ocorrido para efeito de qualidade. Com intuito de informar a falha para que possa ter uma inspeção mais atenta ao processo.</t>
  </si>
  <si>
    <t>KBI1F202503508</t>
  </si>
  <si>
    <t>B20477</t>
  </si>
  <si>
    <t>KBIPR202503503</t>
  </si>
  <si>
    <t xml:space="preserve">PC130LC-10M0, ACCESSORY &amp; PARTS, Controladora, DEFECTIVE APPEARANCE, FALHA NO MODULO DO SISTEMA HIDRÁULICO  </t>
  </si>
  <si>
    <t>FALHA NO MODULO DO SISTEMA HIDRÁULICO</t>
  </si>
  <si>
    <t>Foi retirado o módulo e foi testado em outro equipamento do mesmo modelo e gerou a mesma falha, portanto será necessário a substituição do módulo do sistema hidráulico.</t>
  </si>
  <si>
    <t>braço</t>
  </si>
  <si>
    <t>KBIPR202503500</t>
  </si>
  <si>
    <t xml:space="preserve">PC130LC-10M0, ACCESSORY &amp; PARTS, MOLA ESTICADOR, BROKEN, QUEBRA DA MOLA DO ESTICADOR  </t>
  </si>
  <si>
    <t>QUEBRA DA MOLA DO ESTICADOR</t>
  </si>
  <si>
    <t>22B-30-31341</t>
  </si>
  <si>
    <t>MOLA ESTICADOR</t>
  </si>
  <si>
    <t>KBI1F202503502</t>
  </si>
  <si>
    <t xml:space="preserve">PC130LC-10M0, OTHERS, SEM PECA, OTHER, BUZINA NÃO FUNCIONA  </t>
  </si>
  <si>
    <t>Arm</t>
  </si>
  <si>
    <t>KBIC1202503501</t>
  </si>
  <si>
    <t xml:space="preserve">PC130LC-10M0, ARM, BRAÇO DA LANÇA, BROKEN, TRICA NO BRAÇO DA CAÇAMBA E DO PROTETOR.  </t>
  </si>
  <si>
    <t>TRICA NO BRAÇO DA CAÇAMBA E DO PROTETOR.</t>
  </si>
  <si>
    <t>BRAÇO DA LANÇA</t>
  </si>
  <si>
    <t>REALIZAMOS O TESTE DE LIQUIDO PENETRANTE (LP) PARA EVIDENCIAR AS DIMENSÕES E PROPAGAÇÃO DA TRINCA, ENCONTRAMOS A TRINCA DO LADO DIREITO MEDINDO 18 CENTIMETROS E A TRINCA DO LADO ESQUERDO COM 4 CENTIMENTROS. AINDA NÃO CORRIGIMOS A FALHA, AGUARDAMOS QUAIS PROCEDIMENTOS DEVEMOS REALIZAR. MEDIÇÃO DA CAÇAMBA É DE 0.73M³</t>
  </si>
  <si>
    <t>KBIPR202502510</t>
  </si>
  <si>
    <t xml:space="preserve">PC130-10M0, ARM, braço, DEFECTIVE ADJUSTMENT, FOLGA ENTRE BRAÇO E LANÇA E PÉ DA LANÇA  </t>
  </si>
  <si>
    <t>FOLGA ENTRE BRAÇO E LANÇA E PÉ DA LANÇA</t>
  </si>
  <si>
    <t>Cliente esta irredutível, possui plano de manutenção ativo para o equipamento. Sugerimos uma possível visita técnica da Komatsu para que ele possa se sentir mais amparado. O cliente ate questionou, que se não resolverem  ira acessar meios judiciais para que seja resolvido.</t>
  </si>
  <si>
    <t>KBISP202502519</t>
  </si>
  <si>
    <t>KBISP202502515</t>
  </si>
  <si>
    <t xml:space="preserve">PC130LC-10M0, ENGINE ASSY, gasket, ENTER/LEAKS, VAZAM. PELA PLACA DE REFORÇO DO CÁRTER  </t>
  </si>
  <si>
    <t>VAZAM. PELA PLACA DE REFORÇO DO CÁRTER</t>
  </si>
  <si>
    <t>6204-21-5812</t>
  </si>
  <si>
    <t>gasket</t>
  </si>
  <si>
    <t>KBISP202503518</t>
  </si>
  <si>
    <t xml:space="preserve">PC130LC-10M0, ELECTRICAL SYSTEM, Buzina, INTERFERENCE,   </t>
  </si>
  <si>
    <t>KBISP202503521</t>
  </si>
  <si>
    <t xml:space="preserve">PC130LC-10M0, MACHINE, Chapa, DEFECTIVE INSTALLATION,   </t>
  </si>
  <si>
    <t>204-54-76150</t>
  </si>
  <si>
    <t>Chapa</t>
  </si>
  <si>
    <t>KBIMB202503509</t>
  </si>
  <si>
    <t xml:space="preserve">PC130LC-10M0, FINAL DRIVE, dualcone, ENTER/LEAKS,   </t>
  </si>
  <si>
    <t>203-60-17310</t>
  </si>
  <si>
    <t>dualcone</t>
  </si>
  <si>
    <t>Com base nas informações citadas, trata-se de uma possivel falha de produto.
Apos abertura do componente, nao foi identificado nenhum dano interno e desgaste dos components internos apresenta-se normal.</t>
  </si>
  <si>
    <t>KBISP202504500</t>
  </si>
  <si>
    <t xml:space="preserve">PC130LC-10M0, ENGINE ASSY, Silencioso, ABNORMAL NOISE,   </t>
  </si>
  <si>
    <t>B20364</t>
  </si>
  <si>
    <t>Cliente fidelista, todas as revisões do equipamento feitas na concessionária, cliente possui contrato PMP.</t>
  </si>
  <si>
    <t>KBIMB202504500</t>
  </si>
  <si>
    <t xml:space="preserve">PC130LC-10M0, ENGINE ASSY, respiro, ENTER/LEAKS,   </t>
  </si>
  <si>
    <t>B20438</t>
  </si>
  <si>
    <t>respiro</t>
  </si>
  <si>
    <t>Com base nas informações citadas, trata-se de uma possivel falha de produto.
A parte do respiro possivelmente perdeu a cola ou quebrou. Sera retirado a imagem do motor para identificação melhor da fabrica.</t>
  </si>
  <si>
    <t>KBISP202504513</t>
  </si>
  <si>
    <t xml:space="preserve">PC130LC-10M0, MAIN FRAME &amp; OUT-RIGGER, 202-70-61160, LOOSEN,   </t>
  </si>
  <si>
    <t>O cliente possui duas escavadeiras hidráulica, sendo PC130LC-10M0 / B20109 e PC130LC-10M0 / B20162 , cliente adquiriu pinos e buchas com a concessionária.</t>
  </si>
  <si>
    <t>KBIMB202504503</t>
  </si>
  <si>
    <t xml:space="preserve">PC130LC-10M0, CAB ASS'Y GROUP, cabine, DEFECTIVE APPEARANCE,   </t>
  </si>
  <si>
    <t>B20557</t>
  </si>
  <si>
    <t>Com base nas informações, trata-se de uma possível falha de pintura ou falha de produto.
Cabine apresentou marcas e manchas de oxidação em grandes partes próximo ao para-brisa frontal.</t>
  </si>
  <si>
    <t>KBIPR202504514</t>
  </si>
  <si>
    <t xml:space="preserve">PC130LC-10M0, ACCESSORY &amp; PARTS, Aparelho de sinalização acústica, INTERFERENCE, SIRENE DE MOVIMENTO QUEIMADA  </t>
  </si>
  <si>
    <t>B20415</t>
  </si>
  <si>
    <t>SIRENE DE MOVIMENTO QUEIMADA</t>
  </si>
  <si>
    <t>22F-06-33420</t>
  </si>
  <si>
    <t>Aparelho de sinalização acústica</t>
  </si>
  <si>
    <t>Realizamos o diagnostico registrado em vídeos que estamos anexando em anexo.</t>
  </si>
  <si>
    <t>KBISP202504518</t>
  </si>
  <si>
    <t xml:space="preserve">PC130LC-10M0, ARM, Arm Assembly, FRACTURE,   </t>
  </si>
  <si>
    <t>204-943-0030</t>
  </si>
  <si>
    <t>O cliente, fidelizado à marca Komatsu e com histórico de revisões preventivas e aquisição de componentes diretamente na concessionária, utiliza exclusivamente peças originais Komatsu.</t>
  </si>
  <si>
    <t>KBISP202504527</t>
  </si>
  <si>
    <t xml:space="preserve">PC130LC-10M0, AIR CONDITIONER, Condensador, CRACK, Trinca na solda do condensador  </t>
  </si>
  <si>
    <t>B20261</t>
  </si>
  <si>
    <t>Trinca na solda do condensador</t>
  </si>
  <si>
    <t>KBIPR202505507</t>
  </si>
  <si>
    <t xml:space="preserve">PC130LC-10M0, ACCESSORY &amp; PARTS, MODULO DE CONTROLE ELETRONICO, DEFECTIVE ADJUSTMENT, FALHA DA CONTROLADORA DO MOTOR DIESEL  </t>
  </si>
  <si>
    <t>FALHA DA CONTROLADORA DO MOTOR DIESEL</t>
  </si>
  <si>
    <t>600-475-3502</t>
  </si>
  <si>
    <t>A FALHA NA CONTROLADORA DO MOTOR DIESEL E FOI COMPROVADA, AO MONTARMOS A MESMA CONTROLADORA EM OUTRO EQUIPAMENTO PARA CONFIRMAR O DIAGNOSTIOCO E A FALHA FOI CONFIRMADA. CLIENTE POSSUI CONTRATO MMK ATE 2000 HORAS, FAZ AS MANUTENÇÕES CORRETAMENTE E POSSUI OUTRO EQUIPAMENTO WA320.</t>
  </si>
  <si>
    <t>KBISP202505518</t>
  </si>
  <si>
    <t xml:space="preserve">PC130LC-10M0, ARM, Arm, BROKEN,   </t>
  </si>
  <si>
    <t>KBI1F202505506</t>
  </si>
  <si>
    <t xml:space="preserve">PC130LC-10M0, BOOM, BOMM ASSEMBLY, FRACTURE, TRINCA NA LANÇA  </t>
  </si>
  <si>
    <t>204-70-B0010</t>
  </si>
  <si>
    <t>BOMM ASSEMBLY</t>
  </si>
  <si>
    <t>KBISP202505509</t>
  </si>
  <si>
    <t xml:space="preserve">PC130LC-10M0, HYDRAULIC PIPING(1), Anel Oring de vedação, ENTER/LEAKS,   </t>
  </si>
  <si>
    <t>B20604</t>
  </si>
  <si>
    <t>Anel Oring de vedação</t>
  </si>
  <si>
    <t>KBIMN202505501</t>
  </si>
  <si>
    <t xml:space="preserve">PC130-10M0, TRAVEL MOTOR ASSY, CARRIER, ABNORMAL NOISE, FALHA PREMATURA NO COMANDO FINAL LADO DI  </t>
  </si>
  <si>
    <t>B20504</t>
  </si>
  <si>
    <t>FALHA PREMATURA NO COMANDO FINAL LADO DI</t>
  </si>
  <si>
    <t>TZ701D1003-00</t>
  </si>
  <si>
    <t>CARRIER</t>
  </si>
  <si>
    <t>KBIMB202505517</t>
  </si>
  <si>
    <t xml:space="preserve">PC130LC-10M0, TRACK SHOE, Shoe, ABNORMAL NOISE,   </t>
  </si>
  <si>
    <t>B20427</t>
  </si>
  <si>
    <t>Shoe</t>
  </si>
  <si>
    <t>KBI1F202505518</t>
  </si>
  <si>
    <t xml:space="preserve">PC130LC-10M0, OTHERS, SEM PECA, DEFECTIVE APPEARANCE, BOLHAS NA PINTURA DO CONTRAPESO  </t>
  </si>
  <si>
    <t>BOLHAS NA PINTURA DO CONTRAPESO</t>
  </si>
  <si>
    <t>KBI1F202505517</t>
  </si>
  <si>
    <t xml:space="preserve">PC130LC-10M0, ENGINE ASSY, SENSOR DE PRESSAO, OTHER, ERRO DHE5MA  </t>
  </si>
  <si>
    <t>ERRO DHE5MA</t>
  </si>
  <si>
    <t>KBIPR202505510</t>
  </si>
  <si>
    <t xml:space="preserve">PC130LC-10M0, ACCESSORY &amp; PARTS, SILENCIOSO, MALFUNCTION, BARULHO NO SILENCIOSO.  </t>
  </si>
  <si>
    <t>BARULHO NO SILENCIOSO.</t>
  </si>
  <si>
    <t>New</t>
  </si>
  <si>
    <t>Counterweight leak</t>
  </si>
  <si>
    <t>213SPB</t>
  </si>
  <si>
    <t>213GOC</t>
  </si>
  <si>
    <t>213I</t>
  </si>
  <si>
    <t>2131F</t>
  </si>
  <si>
    <t>2131D</t>
  </si>
  <si>
    <t>213PAE</t>
  </si>
  <si>
    <t>213PRB</t>
  </si>
  <si>
    <t>213RSB</t>
  </si>
  <si>
    <t>213ESD</t>
  </si>
  <si>
    <t>213SCB</t>
  </si>
  <si>
    <t>213MGC</t>
  </si>
  <si>
    <t>213BAB</t>
  </si>
  <si>
    <t>213SPC</t>
  </si>
  <si>
    <t>incident:IfgMPuVM9DpOp4cIMwns92G4DKTpk7FuObboEQiZdIgBEudOO+dWO3n85WCnwPE8JKSWGKojkYYIT5e58gYWyQ==:incidentid=%28Do%20Not%20Modify%29%20TSR&amp;checksumLogicalName=%28Do%20Not%20Modify%29%20Row%20Checksum&amp;modifiedon=%28Do%20Not%20Modify%29%20Modified%20On&amp;kom_casetype=Case%20Type&amp;kom_reportid=Report%20ID&amp;title=Title&amp;elogic_fullmodel=Full%20Model&amp;elogic_serialnumber=Serial%20Number&amp;kom_titlesuffix=Additional%20Failure%20Description&amp;parentcaseid=Parent%20Case&amp;kom_failuresmr=Failure%20SMR&amp;kom_activestage=Active%20Stage&amp;elogic_failuredate=Failure%20Date&amp;kom_machinemanufacturingdate=Machine%20Manufacturing%20Date&amp;kom_deliverydate=Delivery%20Date&amp;kom_failedpartnumber=Failed%20Part%20Number&amp;kom_failedpartname=Failed%20Part%20Name&amp;kom_componentname_new=Component%20Name&amp;kom_phenomenonname_new=Phenomenon%20Name&amp;kom_factoryplant=Plant&amp;kom_currentqueue=Current%20Queue&amp;statuscode=Status%20Reason&amp;createdon=Created%20On&amp;customerid=Distributor&amp;kom_subsidiaryid=Subsidiary&amp;kom_issuedate=Issue%20Date&amp;kom_submitteddate=Submitted%20Date&amp;kom_additionalnotes=Additional%20Notes%28Request%29&amp;primarycontactid=Distributor%20Contact</t>
  </si>
  <si>
    <t>TSR</t>
  </si>
  <si>
    <t>TSI</t>
  </si>
  <si>
    <t>ETSI</t>
  </si>
  <si>
    <t>50 point Inspection</t>
  </si>
  <si>
    <t>Pre-Delivery Inspection</t>
  </si>
  <si>
    <t>Component Change Out (Before Failure)</t>
  </si>
  <si>
    <t>Periodic Maintenance</t>
  </si>
  <si>
    <t>OEM HQ.Confirmed Reply</t>
  </si>
  <si>
    <t>Information Requested</t>
  </si>
  <si>
    <t>Parts Return Requested</t>
  </si>
  <si>
    <t>Accepted</t>
  </si>
  <si>
    <t>Researching</t>
  </si>
  <si>
    <t>Pending Distributor Feedback</t>
  </si>
  <si>
    <t>Distributor Feedback Provided</t>
  </si>
  <si>
    <t>Solution Provided</t>
  </si>
  <si>
    <t>Cancellation Requested</t>
  </si>
  <si>
    <t>Information Provided</t>
  </si>
  <si>
    <t>Merged</t>
  </si>
  <si>
    <t>Rejected - Non-Komatsu Part</t>
  </si>
  <si>
    <t>KBIPR202506500</t>
  </si>
  <si>
    <t xml:space="preserve">PC130LC-10M0, ACCESSORY &amp; PARTS, CHAVE GERAL, DEFECTIVE PARTS, CHAVE GERAL COM PROBLEMA  </t>
  </si>
  <si>
    <t>CHAVE GERAL COM PROBLEMA</t>
  </si>
  <si>
    <t>CHAVE GERAL</t>
  </si>
  <si>
    <t>KBIMB202506502</t>
  </si>
  <si>
    <t xml:space="preserve">PC130LC-10M0, HST PUMP, Bomba hidraulica, MALFUNCTION,   </t>
  </si>
  <si>
    <t>708-3D-00043</t>
  </si>
  <si>
    <t>KBISP202506509</t>
  </si>
  <si>
    <t xml:space="preserve">PC130LC-10M0, BOOM, Lança, FRACTURE,   </t>
  </si>
  <si>
    <t>B20534</t>
  </si>
  <si>
    <t>O cliente, fidelizado à marca Komatsu e com histórico de revisões preventivas e aquisição de componentes diretamente na concessionária, utiliza exclusivamente peças originais Komatsu.</t>
  </si>
  <si>
    <t>KBISP202506519</t>
  </si>
  <si>
    <t xml:space="preserve">PC130LC-10M0, HYDRAULIC CONTROL VALVE, Válvula auto redutora, DEFECTIVE ADJUSTMENT, Ajuste da pressão auto redutora  </t>
  </si>
  <si>
    <t>Ajuste da pressão auto redutora</t>
  </si>
  <si>
    <t>Importante ressaltar que diversos clientes estão apresentando a mesma alegação de que o equipamento encontra-se lento e sem força, possivelmente existe a possibilidade de que os equipamento em questão estejam sendo liberados da fabrica com a pressão dentro do padrão entretanto no mínimo, para os equipamentos liberados no range mínimo de pressão exemplo 29 Kg/cm² estima-se que quando o equipamento entra na temperatura padrão de trabalho essa pressão tende a ser reduzida deixando o equipamento ainda mais lento. Irei deixar de evidencia mais 3 relatórios de equipamentos diferentes que apresentaram a mesma questão.</t>
  </si>
  <si>
    <t>KBIMB202506505</t>
  </si>
  <si>
    <t xml:space="preserve">PC130LC-10M0, ARM, braço, CRACK,   </t>
  </si>
  <si>
    <t>2600 horas com operação em cargas leves e muito leves.</t>
  </si>
  <si>
    <t>Boom crack</t>
  </si>
  <si>
    <t xml:space="preserve">PC130LC-10M0, AIR CONDITIONER, DUTO DE AR, LOOSEN, DESENCAIXE DO DUTO DO AR CONDICIONADO  </t>
  </si>
  <si>
    <t>DESENCAIXE DO DUTO DO AR CONDICIONADO</t>
  </si>
  <si>
    <t>20Y-53-13381</t>
  </si>
  <si>
    <t>DUTO DE AR</t>
  </si>
  <si>
    <t>KBISP202507515</t>
  </si>
  <si>
    <t xml:space="preserve">PC130LC-10M0, ARM, ARM, BROKEN,   </t>
  </si>
  <si>
    <t>Cliente possui dois equipamentos Komatsu, com historico de trinca no braço no equipamento B20109 e agora ruptura do braço no equipamento B20162, ambas apresentaram folga no equipamento de trabalho e concha anteriormente.</t>
  </si>
  <si>
    <t>KBISP202507509</t>
  </si>
  <si>
    <t xml:space="preserve">PC130-10M0, ELECTRICAL SYSTEM, cabo conector da buzina, DEFECTIVE ADJUSTMENT,   </t>
  </si>
  <si>
    <t>204-06-71190</t>
  </si>
  <si>
    <t>cabo conector da buzina</t>
  </si>
  <si>
    <t>20Y-43-41424</t>
  </si>
  <si>
    <t>KBISP202507503</t>
  </si>
  <si>
    <t xml:space="preserve">PC130LC-10M0, ENGINE ASSY, Retentor do virabrequim, ENTER/LEAKS, Vazamento na polia da hélice  </t>
  </si>
  <si>
    <t>Vazamento na polia da hélice</t>
  </si>
  <si>
    <t>KBISP202507533</t>
  </si>
  <si>
    <t>O cliente, fidelizado à marca Komatsu e com histórico de revisões preventivas e aquisição de componentes diretamente na concessionária, possui duas Escavadeiras Komatsu PC130LC-10M0 com contrato de manutenção ativo, sendo a primeira máquina B20366 e a segunda B20663.</t>
  </si>
  <si>
    <t>KBISP202507531</t>
  </si>
  <si>
    <t xml:space="preserve">PC130LC-10M0, WORK EQUIPMENT FOR H/E, equipamento de trabalho, DETERIORATION, KBISP202507531  </t>
  </si>
  <si>
    <t>B20358</t>
  </si>
  <si>
    <t>equipamento de trabalho</t>
  </si>
  <si>
    <t>Equipamento pertence ao Rental da Bauko e apresentou folga com poucas horas de trabalho</t>
  </si>
  <si>
    <t>KBIPR202507509</t>
  </si>
  <si>
    <t xml:space="preserve">PC130LC-10M0, ACCESSORY &amp; PARTS, ROLETE INFERIOR, ENTER/LEAKS, Rolete inferior superior vazando  </t>
  </si>
  <si>
    <t>Rolete inferior superior vazando</t>
  </si>
  <si>
    <t>22B-30-16511</t>
  </si>
  <si>
    <t>O vazamento de óleo compromete a lubrificação do rolete, podendo causar aquecimento excessivo, aumento de atrito e, eventualmente, falha prematura do componente. Além disso, representa risco ambiental e de segurança, especialmente se houver acúmulo de óleo em áreas de circulação.</t>
  </si>
  <si>
    <t>KBISP202507528</t>
  </si>
  <si>
    <t xml:space="preserve">PC130LC-10M0, ARM, ARM, CRACK,   </t>
  </si>
  <si>
    <t>B20257</t>
  </si>
  <si>
    <t>Cliente faz todas as revisões de forma avulsa com a concessionaria, e utiliza caçamba original Komatsu DE 0,75 M³</t>
  </si>
  <si>
    <t>KBIPR202507505</t>
  </si>
  <si>
    <t xml:space="preserve">PC130LC-10M0, ACCESSORY &amp; PARTS, ROLETE INFERIOR, ENTER/LEAKS, Rolete Inferior traseiro LD com Vazament  </t>
  </si>
  <si>
    <t>B20563</t>
  </si>
  <si>
    <t>Rolete Inferior traseiro LD com Vazament</t>
  </si>
  <si>
    <t>Houve um intervalo entre a data de identificação da falha e a realização da substituição, motivado pela disponibilidade do cliente para paralisar o equipamento e pelas condições climáticas adversas na região, que dificultaram o acesso ao local onde a máquina estava operando.</t>
  </si>
  <si>
    <t>KBISP202506522</t>
  </si>
  <si>
    <t xml:space="preserve">PC130LC-10M0, ARM, Arm, LOOSEN,   </t>
  </si>
  <si>
    <t>O cliente fidelizado com Komatsu possui contrato de manutenção ativo, adquire peças de reposição originais exclusivamente com distribuidores autorizados e realiza as manutenções preventivas antecipadamente, antes de atingir o horímetro recomendado.</t>
  </si>
  <si>
    <t>KBISP202507571</t>
  </si>
  <si>
    <t xml:space="preserve">PC130LC-10M0, ARM, Arm, FRACTURE,   </t>
  </si>
  <si>
    <t>B20310</t>
  </si>
  <si>
    <t>Cliente possui dois equipamentos Komatsu sendo uma WA200-6 (B20692) e a PC130LC-10M0 (B20310), o mesmo adquire peças somente genuínas, realiza a manutenção preventiva com o distribuidor autorizado.</t>
  </si>
  <si>
    <t>KBIPR202507515</t>
  </si>
  <si>
    <t xml:space="preserve">PC130LC-10M0, ACCESSORY &amp; PARTS, ROLETE INFERIOR, ENTER/LEAKS, Rolete Quebrado com Vazamento  </t>
  </si>
  <si>
    <t>Rolete Quebrado com Vazamento</t>
  </si>
  <si>
    <t>Aproveitou-se a intervenção para realizar avaliações nos demais roletes (KUC), incluindo medições no material rodante com o objetivo de verificar possíveis desgastes. Nenhum outro problema semelhante foi identificado durante essa análise.</t>
  </si>
  <si>
    <t>KBIPR202507519</t>
  </si>
  <si>
    <t xml:space="preserve">PC130LC-10M0, OTHERS, PINTURA, DEFECTIVE APPEARANCE, PINTURA COM AVARIAS/QUALIDADE  </t>
  </si>
  <si>
    <t>B20678</t>
  </si>
  <si>
    <t>PINTURA COM AVARIAS/QUALIDADE</t>
  </si>
  <si>
    <t>Como o equipamento veio de outro local de armazenamento, é natural que ocorra oxidação na lataria, devido à exposição prolongada às condições climáticas durante o tempo em estoque, podendo inclusive surgir ferrugem. No entanto, foi identificado respingo de tinta no contrapeso, o que indica falta de cuidado durante o processo de pintura e ausência de inspeção adequada no equipamento. Diante disso, tornou-se necessário realizar o reparo, a fim de garantir que o equipamento seja entregue ao cliente em perfeitas condições."</t>
  </si>
  <si>
    <t>KBISP202507579</t>
  </si>
  <si>
    <t xml:space="preserve">PC130LC-10M0, ENGINE ASSY, SILENCIOSO, ABNORMAL NOISE,   </t>
  </si>
  <si>
    <t>Cliente frotista Komatsu, possui três escavadeiras hidráulicas PC130LC-10M0 sendo, (B20391, B20588, B20723), cliente realiza todas manutenções com o distribuidor autorizado, possui contrato de manuteção ativo para todos equipamentos, adquire peças exclusivamente genuínas.</t>
  </si>
  <si>
    <t>KBISP202507576</t>
  </si>
  <si>
    <t xml:space="preserve">PC130LC-10M0, BOOM, Pino, FRACTURE,   </t>
  </si>
  <si>
    <t xml:space="preserve">PC130LC-10M0, BOOM, Pino, FRACTURE, Arm cylinder pin break  </t>
  </si>
  <si>
    <t>O cliente preza por aquisição de peças originais com o distribuidor autorizado, realiza a lubrificação conforme indicado pelas recomendações do fabricando. Cliente possui dois equipamentos PC130LC-10M0, sendo B20337 e B20407.</t>
  </si>
  <si>
    <t>KBISP202507575</t>
  </si>
  <si>
    <t xml:space="preserve">PC130LC-10M0, BOOM, PINO, FRACTURE,   </t>
  </si>
  <si>
    <t>KBISP202507573</t>
  </si>
  <si>
    <t xml:space="preserve">PC130LC-10M0, BOOM, Pin, FRACTURE,   </t>
  </si>
  <si>
    <t>Primeiro equipamento Komatsu do cliente, realiza todas as revisões com o distribuidor autorizado, exige que as revisões sejam realizadas antecipadamente antes de atingir o horímetro, cliente realiza compra de peças exclusivamente genuínas.</t>
  </si>
  <si>
    <t>KBI1F202507512</t>
  </si>
  <si>
    <t xml:space="preserve">PC130-10M0, ACCESSORY &amp; PARTS, DECALQUE, OTHER, ADESIVO CONTRAPESO LADO ESQ. FALTANDO  </t>
  </si>
  <si>
    <t>ADESIVO CONTRAPESO LADO ESQ. FALTANDO</t>
  </si>
  <si>
    <t>213RSC</t>
  </si>
  <si>
    <t>KBISP202508502</t>
  </si>
  <si>
    <t xml:space="preserve">PC130LC-10M0, ARM, PLATE, CRACK, Reforço no braço  </t>
  </si>
  <si>
    <t>B20675</t>
  </si>
  <si>
    <t>Reforço no braço</t>
  </si>
  <si>
    <t>09134-A1681</t>
  </si>
  <si>
    <t xml:space="preserve">PC130LC-10M0, ACCESSORY &amp; PARTS, ROLETE INFERIOR, ENTER/LEAKS,   </t>
  </si>
  <si>
    <t>KBISP202508506</t>
  </si>
  <si>
    <t>B20252</t>
  </si>
  <si>
    <t>Cliente faz todas as revisões de forma avulsa com a concessionaria, e utiliza caçamba original Komatsu 
de 0,75m³.</t>
  </si>
  <si>
    <t>KBISP202508503</t>
  </si>
  <si>
    <t xml:space="preserve">PC130LC-10M0, ARM, ARM, INTERFERENCE,   </t>
  </si>
  <si>
    <t>KBIPR202508506</t>
  </si>
  <si>
    <t xml:space="preserve">PC130LC-10M0, TRACK ROLLER, ADAPTADOR, BROKEN, DENTE DA CAÇAMBA QUEBRADO  </t>
  </si>
  <si>
    <t>3040P020L</t>
  </si>
  <si>
    <t>Como parte do processo corretivo, será necessária a aplicação de uma trava P020P nova, juntamente com a substituição do componente danificado.</t>
  </si>
  <si>
    <t>KBISP202509518</t>
  </si>
  <si>
    <t>B20673</t>
  </si>
  <si>
    <t>KBISP202509517</t>
  </si>
  <si>
    <t>B20741</t>
  </si>
  <si>
    <t>KBISP202509516</t>
  </si>
  <si>
    <t xml:space="preserve">PC130-10M0, ARM, Arm, FRACTURE,   </t>
  </si>
  <si>
    <t>KBISP202509515</t>
  </si>
  <si>
    <t>KBISP202509514</t>
  </si>
  <si>
    <t>B20594</t>
  </si>
  <si>
    <t>KBISP202509513</t>
  </si>
  <si>
    <t>KBISP202509512</t>
  </si>
  <si>
    <t>B20706</t>
  </si>
  <si>
    <t>KBISP202509511</t>
  </si>
  <si>
    <t>KBISP202509509</t>
  </si>
  <si>
    <t>KBISP202509508</t>
  </si>
  <si>
    <t>KBISP202509507</t>
  </si>
  <si>
    <t>KBISP202509506</t>
  </si>
  <si>
    <t>B20735</t>
  </si>
  <si>
    <t>KBISP202509505</t>
  </si>
  <si>
    <t>KBISP202509504</t>
  </si>
  <si>
    <t>KBISP202509503</t>
  </si>
  <si>
    <t>KBISP202509502</t>
  </si>
  <si>
    <t>B20595</t>
  </si>
  <si>
    <t>KBISP202509501</t>
  </si>
  <si>
    <t>B20737</t>
  </si>
  <si>
    <t>KBISP202509500</t>
  </si>
  <si>
    <t>B20732</t>
  </si>
  <si>
    <t>KBISP202508516</t>
  </si>
  <si>
    <t>Cliente frostista Komatsu possui Contrato de Manutenção ativo para todos Equipamentos, possui três escavadeiras hidráulias (B20391, B20588 e B20723), realiza as lubrificações e inspeções diárias. Cliente com grande histórico de aquisição de peças exclusivamente originais com o distribuidor autorizado.</t>
  </si>
  <si>
    <t>KBISP202508514</t>
  </si>
  <si>
    <t xml:space="preserve">PC130LC-10M0, BOOM, Boom, FRACTURE,   </t>
  </si>
  <si>
    <t>B20742</t>
  </si>
  <si>
    <t>KBISP202509532</t>
  </si>
  <si>
    <t xml:space="preserve">PC130LC-10M0, ACCESSORY &amp; PARTS, Cover, BROKEN,   </t>
  </si>
  <si>
    <t>Gustavo Henrique</t>
  </si>
  <si>
    <t>KBI1D202509502</t>
  </si>
  <si>
    <t xml:space="preserve">PC130LC-10M0, AIR CLEANER, Elemento filtrante, ENTER/LEAKS, Elemento do filtro de ar com furo  </t>
  </si>
  <si>
    <t>Elemento do filtro de ar com furo</t>
  </si>
  <si>
    <t>600-185-2500</t>
  </si>
  <si>
    <t>Elemento filtrante</t>
  </si>
  <si>
    <t>KBISP202509520</t>
  </si>
  <si>
    <t xml:space="preserve">PC130LC-10M0, HYDRAULIC CONTROL VALVE, VALVULA, INTERFERENCE,   </t>
  </si>
  <si>
    <t>B20661</t>
  </si>
  <si>
    <t>723-50-53600</t>
  </si>
  <si>
    <t>KBIPR202509502</t>
  </si>
  <si>
    <t xml:space="preserve">PC130LC-10M0, TRACK FRAME, ESTEIRA, ABNORMAL NOISE, ESTALO NA ESTEIRA  </t>
  </si>
  <si>
    <t>ESTALO NA ESTEIRA</t>
  </si>
  <si>
    <t>203-32-B1600</t>
  </si>
  <si>
    <t>O operador relatou que, após o ajuste no tensionamento das esteiras, o defeito não voltou a ocorrer. Orientamos o cliente quanto à necessidade de acompanhamento contínuo do equipamento durante as operações de trabalho, a fim de monitorar qualquer recorrência da falha.
Mas, o cliente demonstrou preocupação com o corrido.</t>
  </si>
  <si>
    <t>KBISP202509535</t>
  </si>
  <si>
    <t xml:space="preserve">PC130LC-10M0, ARM, Pino, FRACTURE,   </t>
  </si>
  <si>
    <t>Cliente frotista Komatsu, possuindo duas Escavadeiras Hidráulicas, sendo PC130LC-10M0 ( B20109) e PC130LC-10M0 (B20162), cliente extremamente rigoroso com a lubrificação diária do equipamento.</t>
  </si>
  <si>
    <t>KBISP202509534</t>
  </si>
  <si>
    <t xml:space="preserve">PC130LC-10M0, ARM, Braço, FRACTURE,   </t>
  </si>
  <si>
    <t>Atualmente, o cliente conta com duas unidades do modelo Komatsu PC130LC-10M0 (B20337) e (B20407).  Utiliza peças exclusivamente genuínas da Komatsu e realiza a lubrificação do equipamento diariamente com uma alta rigorosidade.</t>
  </si>
  <si>
    <t>MASON EQUIPMETOS NORTHEAST (213PAE)</t>
  </si>
  <si>
    <t>KBISP202509571</t>
  </si>
  <si>
    <t>Cliente realiza manutenções preventivas e corretivas com o distribuidor, realiza a compra de peças e componentes somente genuínos, operador realiza inspeções rigorosamente e segue instruções de lubrificação como informado na entrega técnica.</t>
  </si>
  <si>
    <t>KBISP202509566</t>
  </si>
  <si>
    <t xml:space="preserve">PC130LC-10M0, HYDRAULIC CONTROL VALVE, Valve Assembly, Control, DEFECTIVE ADJUSTMENT,   </t>
  </si>
  <si>
    <t>B20755</t>
  </si>
  <si>
    <t>Máquina nova, apenas com quatro horas, foi realizado a inspeção no equipamento após a chegada da fábrica.</t>
  </si>
  <si>
    <t>KBISP202509565</t>
  </si>
  <si>
    <t>B20756</t>
  </si>
  <si>
    <t>Máquina nova, apenas com cinco horas, foi realizado a inspeção no equipamento após a chegada da fábrica.</t>
  </si>
  <si>
    <t>KBISP202509564</t>
  </si>
  <si>
    <t>Primeiro equipamento do cliente, realiza as manutenções preventivas com o distribuidor autorizado, realiza também a compra de componentes genuínos.
Obs.: Operador realiza a lubrificação do equipamento rigorosamente, como especificado na entrega técnica.</t>
  </si>
  <si>
    <t>KBISP202509563</t>
  </si>
  <si>
    <t xml:space="preserve">PC130LC-10M0, HYDRAULIC CYLINDER, magueira, ENTER/LEAKS,   </t>
  </si>
  <si>
    <t>B20757</t>
  </si>
  <si>
    <t>magueira</t>
  </si>
  <si>
    <t>KBISP202509561</t>
  </si>
  <si>
    <t>KBISP202509560</t>
  </si>
  <si>
    <t>KBISP202509559</t>
  </si>
  <si>
    <t>KBISP202509558</t>
  </si>
  <si>
    <t>KBISP202509573</t>
  </si>
  <si>
    <t xml:space="preserve">PC130LC-10M0, KOMTRAX ASSY, Controller, DEFECTIVE INSTALLATION,   </t>
  </si>
  <si>
    <t>7826-60-4000</t>
  </si>
  <si>
    <t>Atualmente, o cliente conta com quatro unidades da escavadeira hidráulica Komatsu modelo PC130LC-10M0, sendo elas das séries B20666, B20667, B20668 e B20700.</t>
  </si>
  <si>
    <t>KBIMB202510507</t>
  </si>
  <si>
    <t xml:space="preserve">PC130LC-10M0, CARRIER ROLLER, Rolete, BROKEN,   </t>
  </si>
  <si>
    <t>B20713</t>
  </si>
  <si>
    <t>203-30-00331</t>
  </si>
  <si>
    <t>KBISP202510516</t>
  </si>
  <si>
    <t xml:space="preserve">PC130LC-10M0, TRAVEL MOTOR ASSY, Comando final L01, DETERIORATION,   </t>
  </si>
  <si>
    <t>Comando final L01</t>
  </si>
  <si>
    <t>Cliente realiza somente revisão com DB, adqurindo todos os componentes genuínos.</t>
  </si>
  <si>
    <t>KBISP202510514</t>
  </si>
  <si>
    <t xml:space="preserve">PC130LC-10M0, TRAVEL MOTOR ASSY, Comando final L01, FRACTURE,   </t>
  </si>
  <si>
    <t>B20400</t>
  </si>
  <si>
    <t>Cliente realizou todas as preventivas com o DB autorizado. Cliente realiza inspeção diária no equipamento, onde verifica todos os componentes e pontos necessários para manter a integridade do equipamento.</t>
  </si>
  <si>
    <t>KBISP202510510</t>
  </si>
  <si>
    <t>Cliente possui contrato de manutenção ativo, realiza a lubrificação e inspeção diária no seu equipamento. Primeiro equipamento do cliente, realiza aquisição de peças somente com o distribuidor autorizado pela Komatsu. Cliente extremamente rigoroso com as preventivas do equipamento.</t>
  </si>
  <si>
    <t>KBI1F202510503</t>
  </si>
  <si>
    <t xml:space="preserve">PC130LC-10M0, WIRING HARNESS, CHICOTE, BROKEN, BUZINA NÃO FUNCIONA  </t>
  </si>
  <si>
    <t>20Y-06-16920</t>
  </si>
  <si>
    <t>KBIMN202510500</t>
  </si>
  <si>
    <t xml:space="preserve">PC130-10M0, ACCESSORY &amp; PARTS, BOMBA D’AGUA, MALFUNCTION,   </t>
  </si>
  <si>
    <t>6205-61-1304</t>
  </si>
  <si>
    <t>BOMBA D’AGUA</t>
  </si>
  <si>
    <t>KBISP202510508</t>
  </si>
  <si>
    <t xml:space="preserve">PC130LC-10M0, AIR CONDITIONER, Conector do modulo de ar condicionado, DEFECTIVE ADJUSTMENT, Conector do modulo do ar condicionado  </t>
  </si>
  <si>
    <t>Conector do modulo do ar condicionado</t>
  </si>
  <si>
    <t>Conector do modulo de ar condicionado</t>
  </si>
  <si>
    <t>KBIPR202510506</t>
  </si>
  <si>
    <t xml:space="preserve">PC130LC-10M0, TRACK ROLLER, ESTEIRA, ABNORMAL NOISE, ESTALO NA ESTEIRA  </t>
  </si>
  <si>
    <t>Até o momento, o problema relatado não pôde ser reproduzido durante os testes realizados.
Considerando o desgaste identificado na roda motriz direita, o componente poderá ser um potencial causador do ruído intermitente. Será necessário acompanhar o equipamento em operação, sob as condições normais de trabalho do cliente, para verificar se o problema persiste e possibilitar um diagnóstico conclusivo.</t>
  </si>
  <si>
    <t>KBISP202510507</t>
  </si>
  <si>
    <t xml:space="preserve">PC130LC-10M0, ARM, Braço, WEAR/RUST/SCRATCHED(SURFACE),   </t>
  </si>
  <si>
    <t>204-70-00490</t>
  </si>
  <si>
    <t>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</t>
  </si>
  <si>
    <t>KBISP202510506</t>
  </si>
  <si>
    <t>KBISP202510505</t>
  </si>
  <si>
    <t>Cliente possui Contrato de Manutenção Ativo (PMP) para seus equipamentos. Atualmente, o cliente possui três máquinas Komatsu modelo PC130LC-10M0, com as séries B20342, B20626 e B20480. Realiza a compra de lubrificantes e graxas exclusivamente com o distribuidor autorizado, mantendo sempre em dia as revisões e a lubrificação dos equipamentos, conforme as instruções e recomendações indicadas pela concessionária.</t>
  </si>
  <si>
    <t>KBISP202510504</t>
  </si>
  <si>
    <t>B20370</t>
  </si>
  <si>
    <t>Cliente possui Contrato de Manutenção Ativo (PMP) para seu equipamento. O cliente possui uma máquina Komatsu PC130LC-10M0, realiza a compra de lubrificantes e graxas exclusivamente com o distribuidor autorizado, mantendo sempre em dia as revisões e a lubrificação do equipamento, conforme as instruções e recomendações indicadas pela concessionária.</t>
  </si>
  <si>
    <t>KBIPR202510502</t>
  </si>
  <si>
    <t xml:space="preserve">PC130-10M0, ACCESSORY &amp; PARTS, ASSENTO, BROKEN, ASSENTO DO OPERADOR QUEBRADO  </t>
  </si>
  <si>
    <t>B20473</t>
  </si>
  <si>
    <t>ASSENTO DO OPERADOR QUEBRADO</t>
  </si>
  <si>
    <t>O cliente possui um total de 04 equipamentos da marca Komatsu. O equipamento em questão está coberto por um plano de manutenção programada com vigência até 6.000 horas. A recomendação ao cliente foi aguardar o fornecimento do novo assento completo (PN 20Y-57-42201) e realizar a substituição assim que possível.</t>
  </si>
  <si>
    <t>KBISP202510503</t>
  </si>
  <si>
    <t>B20508</t>
  </si>
  <si>
    <t>Cliente possui Contrato de Manutenção Ativo (PMP) para seus Equipamentos, cliente possui dois Equipamentos Komatsu PC130LC-10M0 (B20289 e B20580), realiza a compra de lubrificantes e graxa somente com o distribuidor autorizado, está sempre em dias com a revisão e lubrificação do equipamento, seguindo as intruções conforme indicado pela concessionária.</t>
  </si>
  <si>
    <t>Issue2</t>
  </si>
  <si>
    <t>KBISP202510526</t>
  </si>
  <si>
    <t xml:space="preserve">PC130LC-10M0, HYDRAULIC CYLINDER, Cilindro, MALFUNCTION,   </t>
  </si>
  <si>
    <t>Cliente frotista Komatsu, possui Contrato de Manutenção Ativo (PMP) para seus equipamentos Komatsu PC130LC-10M0, séries B20283, B20368, B20395, B20662 e B20756. Realiza a compra de lubrificantes e graxas exclusivamente com o distribuidor autorizado, mantendo as revisões e lubrificações sempre em dia, conforme as orientações técnicas da concessionária.</t>
  </si>
  <si>
    <t>KBISP202510523</t>
  </si>
  <si>
    <t>B20386</t>
  </si>
  <si>
    <t>Cliente possui Contrato de Manutenção Ativo (PMP) para seus equipamentos Komatsu PC130LC-10M0, séries B20386 e B20741.</t>
  </si>
  <si>
    <t>KBISP202510522</t>
  </si>
  <si>
    <t>B20579</t>
  </si>
  <si>
    <t>Cliente possui Contrato de Manutenção Ativo (PMP) para seu equipamento Komatsu PC130LC-10M0, série B20579.</t>
  </si>
  <si>
    <t>KBISP202510518</t>
  </si>
  <si>
    <t>B20389</t>
  </si>
  <si>
    <t>O cliente possui Contrato de Manutenção Ativo (PMP) para seus equipamentos Komatsu PC130LC-10M0, séries B20389 e B20508. Realiza a compra de lubrificantes e graxas exclusivamente com o distribuidor autorizado e mantém as revisões e lubrificações sempre em dia, seguindo rigorosamente as orientações repassadas pela concessionária.</t>
  </si>
  <si>
    <t>KBISP202510517</t>
  </si>
  <si>
    <t xml:space="preserve">PC130LC-10M0, ENGINE ASSY, Roda Fônica, DEFORMATION, Roda fônica do motor amassada  </t>
  </si>
  <si>
    <t>Roda fônica do motor amassada</t>
  </si>
  <si>
    <t>6271-31-1990</t>
  </si>
  <si>
    <t>Roda Fônica</t>
  </si>
  <si>
    <t>KBISP202510515</t>
  </si>
  <si>
    <t xml:space="preserve">PC130LC-10M0, TRAVEL MOTOR ASSY, Comando final R01, FRACTURE,   </t>
  </si>
  <si>
    <t>Comando final R01</t>
  </si>
  <si>
    <t>Cliente realiza a substituição do fluido TO30 a cada 500 horas em seus equipamentos, adquirindo somente com o distribuidor autorizado.</t>
  </si>
  <si>
    <t>KBISP202511521</t>
  </si>
  <si>
    <t xml:space="preserve">PC130LC-10M0, ARM, Equipamento de trabalho, WEAR/RUST/SCRATCHED(SURFACE),   </t>
  </si>
  <si>
    <t>Equipamento de trabalho</t>
  </si>
  <si>
    <t>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</t>
  </si>
  <si>
    <t>KBISP202511519</t>
  </si>
  <si>
    <t>Cliente possui ativo o contrato de manutenção com o DB, realiza a aquisição de peças genuínas somente com o distribuidor, cliente realiza inspeção visual no equipamento rigorosamente e diariamente.</t>
  </si>
  <si>
    <t>20Y-954-6111</t>
  </si>
  <si>
    <t>Cabin</t>
  </si>
  <si>
    <t>KBISP202511515</t>
  </si>
  <si>
    <t xml:space="preserve">PC130LC-10M0, CAB ASS'Y GROUP, Cabin, DEFECTIVE APPEARANCE,   </t>
  </si>
  <si>
    <t>KBISP202511514</t>
  </si>
  <si>
    <t xml:space="preserve">PC130-10M0, CAB ASS'Y GROUP, Cabin, DEFECTIVE APPEARANCE,   </t>
  </si>
  <si>
    <t>KBISP202511513</t>
  </si>
  <si>
    <t>KBISP202511512</t>
  </si>
  <si>
    <t>KBISP202511511</t>
  </si>
  <si>
    <t>KBISP202511508</t>
  </si>
  <si>
    <t>B20772</t>
  </si>
  <si>
    <t>KBISP202511507</t>
  </si>
  <si>
    <t>KBISP202511506</t>
  </si>
  <si>
    <t xml:space="preserve">PC130-10M0, ARM, Arm, BROKEN,   </t>
  </si>
  <si>
    <t>B20722</t>
  </si>
  <si>
    <t>KBISP202511505</t>
  </si>
  <si>
    <t>KBISP202511503</t>
  </si>
  <si>
    <t>KBISP202511502</t>
  </si>
  <si>
    <t>KBISP202511501</t>
  </si>
  <si>
    <t>Cliente possui Contrato de Manutenção Ativo (PMP) para seus equipamentos Komatsu PC130LC-10M0, séries B20454 e B20602. Realiza a compra de lubrificantes e graxas exclusivamente com o distribuidor autorizado, mantendo as revisões e lubrificações sempre em dia, conforme as orientações técnicas da concessionária.</t>
  </si>
  <si>
    <t>KBISP202511500</t>
  </si>
  <si>
    <t>Cliente possui Contrato de Manutenção Ativo (PMP) para seu equipamento Komatsu PC130LC-10M0, série B20364.</t>
  </si>
  <si>
    <t>KBISP202509568</t>
  </si>
  <si>
    <t>KBISP202511536</t>
  </si>
  <si>
    <t xml:space="preserve">PC130-10M0, OPERATOR CAB &amp; ROPS, Cabine, WEAR/RUST/SCRATCHED(SURFACE),   </t>
  </si>
  <si>
    <t>20Y-53-01374</t>
  </si>
  <si>
    <t>KBISP202511524</t>
  </si>
  <si>
    <t>KBISP202511523</t>
  </si>
  <si>
    <t>Cliente possui Contrato de Manutenção ativo, realiza a compra de peças somente com o DB.</t>
  </si>
  <si>
    <t>KBISP202511522</t>
  </si>
  <si>
    <t>B20546</t>
  </si>
  <si>
    <t>Cliente possui quatro equipamentos Komatsu, todos possui contrato de manutenção ativo, cliente faz questão de extensão de contrato das máquinas.</t>
  </si>
  <si>
    <t>KBISP202510509</t>
  </si>
  <si>
    <t>B20541</t>
  </si>
  <si>
    <t>O cliente, fidelizado à marca Komatsu e com histórico de revisões preventivas e aquisição de componentes diretamente na concessionária, possui 7 equipamentos Komatsu (B50886, B50027, B50460, B51514, B10685, B20541 e B11706), todos equipamento possui contrato de manutenção ativo.</t>
  </si>
  <si>
    <t>KBISP202511545</t>
  </si>
  <si>
    <t xml:space="preserve">PC130LC-10M0, ACCESSORY &amp; PARTS, Silencioso, MALFUNCTION,   </t>
  </si>
  <si>
    <t>Cliente possui 5 Equipamentos Komatsu, todos possui contrato de manutenção ativo (PMP), (B20283, B20368, B20395, B20662 e B20756).</t>
  </si>
  <si>
    <t>KBISP202511544</t>
  </si>
  <si>
    <t>B20786</t>
  </si>
  <si>
    <t>KBISP202511542</t>
  </si>
  <si>
    <t>KBISP202511538</t>
  </si>
  <si>
    <t xml:space="preserve">PC130LC-10M0, ACCESSORY &amp; PARTS, Chave, DEFECTIVE INSTALLATION,   </t>
  </si>
  <si>
    <t>B20797</t>
  </si>
  <si>
    <t>Failure2</t>
  </si>
  <si>
    <t>H17 - Arm Cylinder</t>
  </si>
  <si>
    <t>714 - Arm</t>
  </si>
  <si>
    <t>A1T - Muffler</t>
  </si>
  <si>
    <t>Reinforcement - Arm crack - AB25018 - FCB25016</t>
  </si>
  <si>
    <t>Arm cylinder pin break - AB25032 / FCB25040</t>
  </si>
  <si>
    <t>H17 - Arm cylinder</t>
  </si>
  <si>
    <t>Arm crack - AB25018 - FCB25016</t>
  </si>
  <si>
    <t>Wrong key delivered</t>
  </si>
  <si>
    <t>984 - Acessory / Others</t>
  </si>
  <si>
    <t>Bushing and Pin wear</t>
  </si>
  <si>
    <t>Cabin front painting</t>
  </si>
  <si>
    <t>551 - Operator's Cab</t>
  </si>
  <si>
    <t>Engine phonic wheel</t>
  </si>
  <si>
    <t>100 - Engine related parts</t>
  </si>
  <si>
    <t>Travel motor</t>
  </si>
  <si>
    <t>L51 - Travel motor</t>
  </si>
  <si>
    <t>Operator seat</t>
  </si>
  <si>
    <t>DA0 - Electronic controller</t>
  </si>
  <si>
    <t>Track roller break / leak</t>
  </si>
  <si>
    <t>304 - Track roller</t>
  </si>
  <si>
    <t>Nozzler wiring</t>
  </si>
  <si>
    <t>D00 - Electric system</t>
  </si>
  <si>
    <t>Water pump</t>
  </si>
  <si>
    <t>A60 - Water pump</t>
  </si>
  <si>
    <t>571 - Operator's Cab</t>
  </si>
  <si>
    <t>Arm cylinder deformation</t>
  </si>
  <si>
    <t>Track abnormal noise</t>
  </si>
  <si>
    <t>301 - Track frame</t>
  </si>
  <si>
    <t>450 - A/C</t>
  </si>
  <si>
    <t>A/C wiring</t>
  </si>
  <si>
    <t>Hose leak</t>
  </si>
  <si>
    <t>Performance complain</t>
  </si>
  <si>
    <t>RX0 - Control valve</t>
  </si>
  <si>
    <t>000 - Machine</t>
  </si>
  <si>
    <t>Console crack</t>
  </si>
  <si>
    <t>Air filter</t>
  </si>
  <si>
    <t>Control valve spool</t>
  </si>
  <si>
    <t>Swing motor leak</t>
  </si>
  <si>
    <t>Abnormal noise on muffler (before countermeasure)</t>
  </si>
  <si>
    <t>542 - Counterweight</t>
  </si>
  <si>
    <t>A30 - crankshaft</t>
  </si>
  <si>
    <t>Crankshaft seal</t>
  </si>
  <si>
    <t>A/C</t>
  </si>
  <si>
    <t>Hyd. Controller</t>
  </si>
  <si>
    <t>306  - Recoil spring</t>
  </si>
  <si>
    <t>Recoil spring break</t>
  </si>
  <si>
    <t>Head leak</t>
  </si>
  <si>
    <t>Dualcone</t>
  </si>
  <si>
    <t>Engine controller</t>
  </si>
  <si>
    <t>711 - Boom</t>
  </si>
  <si>
    <t>6A0 - Hydraulic piping</t>
  </si>
  <si>
    <t>Seal leak</t>
  </si>
  <si>
    <t>Condensor crack</t>
  </si>
  <si>
    <t>Nozzler malfunction</t>
  </si>
  <si>
    <t>Boom bushing wear</t>
  </si>
  <si>
    <t>Arm interference</t>
  </si>
  <si>
    <t>716 - Bucket</t>
  </si>
  <si>
    <t>Teeth crack</t>
  </si>
  <si>
    <t>Adhesive missing</t>
  </si>
  <si>
    <t>Fan seal</t>
  </si>
  <si>
    <t>Bucket link visual complain</t>
  </si>
  <si>
    <t>Hyd. Pump</t>
  </si>
  <si>
    <t>K11 - Hyd. Piston Pump</t>
  </si>
  <si>
    <t>Main switch</t>
  </si>
  <si>
    <t>Counterweight paiting</t>
  </si>
  <si>
    <t>Hose seal</t>
  </si>
  <si>
    <t>Hydraulic trim</t>
  </si>
  <si>
    <t>H16 - Boom cylinder</t>
  </si>
  <si>
    <t>Boom cylinder cover</t>
  </si>
  <si>
    <t>Windshield cleaner</t>
  </si>
  <si>
    <t>Cabin console sctrach</t>
  </si>
  <si>
    <t>A90 - Turbocharger</t>
  </si>
  <si>
    <t>Entering water</t>
  </si>
  <si>
    <t>Engine heatcooler</t>
  </si>
  <si>
    <t>Pin wear</t>
  </si>
  <si>
    <t>303 - Front idler</t>
  </si>
  <si>
    <t>Bucket wear</t>
  </si>
  <si>
    <t>Bucket clearance</t>
  </si>
  <si>
    <t>Front idler clearance</t>
  </si>
  <si>
    <t>Condensor support crack</t>
  </si>
  <si>
    <t>Cab cushion</t>
  </si>
  <si>
    <t>Pump controller</t>
  </si>
  <si>
    <t>Coolant level</t>
  </si>
  <si>
    <t>D61 - Battery</t>
  </si>
  <si>
    <t>Hose low torque</t>
  </si>
  <si>
    <t>279 - Sprocket</t>
  </si>
  <si>
    <t>Sprocket wear</t>
  </si>
  <si>
    <t>4th cylinder</t>
  </si>
  <si>
    <t>A00 - Engine</t>
  </si>
  <si>
    <t>AB0 - Alternator</t>
  </si>
  <si>
    <t>H18 - Bucket cylinder</t>
  </si>
  <si>
    <t>Bucket cylinder leak</t>
  </si>
  <si>
    <t>Arm cylinder trim</t>
  </si>
  <si>
    <t>602 - Hydraulic filter</t>
  </si>
  <si>
    <t>Hydraulic filter</t>
  </si>
  <si>
    <t>Swing motor brake</t>
  </si>
  <si>
    <t>Arm cylinder crack</t>
  </si>
  <si>
    <t>Missing part</t>
  </si>
  <si>
    <t>Swing motor bolts loosen</t>
  </si>
  <si>
    <t>Bucket crack</t>
  </si>
  <si>
    <t>Engine abnormal noise</t>
  </si>
  <si>
    <t>Headlight complain</t>
  </si>
  <si>
    <t>Track link</t>
  </si>
  <si>
    <t>L11 - Swing motor</t>
  </si>
  <si>
    <t>261 - Swing machinery</t>
  </si>
  <si>
    <t>Swivel joint leak</t>
  </si>
  <si>
    <t>Elbow leak</t>
  </si>
  <si>
    <t>Track link break</t>
  </si>
  <si>
    <t>Pin lubrification</t>
  </si>
  <si>
    <t>Coolant leak</t>
  </si>
  <si>
    <t>Front idler crack</t>
  </si>
  <si>
    <t>Condensor leak</t>
  </si>
  <si>
    <t>Front iddler seal</t>
  </si>
  <si>
    <t>Internal leak</t>
  </si>
  <si>
    <t>Hyd. Oil level</t>
  </si>
  <si>
    <t>601 - Hydraulic tank</t>
  </si>
  <si>
    <t>Diesel leak</t>
  </si>
  <si>
    <t>Engine wiring</t>
  </si>
  <si>
    <t>Filter cover</t>
  </si>
  <si>
    <t>Different filter</t>
  </si>
  <si>
    <t>KOMTRAX</t>
  </si>
  <si>
    <t>Rótulos de Linha</t>
  </si>
  <si>
    <t>(vazio)</t>
  </si>
  <si>
    <t>Total Geral</t>
  </si>
  <si>
    <t>Contagem de Code</t>
  </si>
  <si>
    <t>DB Code</t>
  </si>
  <si>
    <t>DB Nome</t>
  </si>
  <si>
    <t>Mason</t>
  </si>
  <si>
    <t>Bauko</t>
  </si>
  <si>
    <t>DCCO</t>
  </si>
  <si>
    <t>Noroeste</t>
  </si>
  <si>
    <t>FW</t>
  </si>
  <si>
    <t>213PEA</t>
  </si>
  <si>
    <t>DCDN</t>
  </si>
  <si>
    <t>MAQMOB</t>
  </si>
  <si>
    <t xml:space="preserve">Vianmaq </t>
  </si>
  <si>
    <t>213MGB</t>
  </si>
  <si>
    <t>Mining</t>
  </si>
  <si>
    <t>Florest</t>
  </si>
  <si>
    <t>213ESC</t>
  </si>
  <si>
    <t>CTK</t>
  </si>
  <si>
    <t>Filial DB NAME</t>
  </si>
  <si>
    <t>CodeComponent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</si>
</sst>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sz val="6"/>
      <name val="HGGothicE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2" fillId="0" borderId="0" xfId="0" applyFont="1"/>
    <xf numFmtId="0" fontId="0" fillId="3" borderId="0" xfId="0" applyFill="1"/>
    <xf numFmtId="14" fontId="2" fillId="0" borderId="0" xfId="0" applyNumberFormat="1" applyFont="1"/>
    <xf numFmtId="14" fontId="0" fillId="3" borderId="0" xfId="0" applyNumberFormat="1" applyFill="1"/>
    <xf numFmtId="49" fontId="0" fillId="0" borderId="0" xfId="0" applyNumberFormat="1"/>
    <xf numFmtId="1" fontId="0" fillId="0" borderId="0" xfId="0" applyNumberFormat="1"/>
    <xf numFmtId="14" fontId="0" fillId="4" borderId="0" xfId="0" applyNumberFormat="1" applyFill="1"/>
    <xf numFmtId="0" fontId="0" fillId="5" borderId="0" xfId="0" applyFill="1"/>
    <xf numFmtId="0" fontId="0" fillId="0" borderId="1" xfId="0" applyBorder="1"/>
    <xf numFmtId="0" fontId="0" fillId="0" borderId="0" xfId="0" pivotButton="1"/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27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theme="1"/>
        </patternFill>
      </fill>
    </dxf>
    <dxf>
      <border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2" tint="-9.9948118533890809E-2"/>
        </patternFill>
      </fill>
    </dxf>
    <dxf>
      <font>
        <color theme="0"/>
      </font>
      <fill>
        <patternFill>
          <bgColor theme="1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2" defaultTableStyle="Estilo de Tabela 1" defaultPivotStyle="PivotStyleLight16">
    <tableStyle name="Estilo de Tabela 1" pivot="0" count="3" xr9:uid="{E2CA6F66-AF1D-4D29-A822-E816B89B4A5E}">
      <tableStyleElement type="wholeTable" dxfId="26"/>
      <tableStyleElement type="headerRow" dxfId="25"/>
      <tableStyleElement type="firstColumn" dxfId="24"/>
    </tableStyle>
    <tableStyle name="Estilo de Tabela 1 2" pivot="0" count="3" xr9:uid="{B0F104D0-E9C7-48ED-B078-024DF077DA7A}">
      <tableStyleElement type="wholeTable" dxfId="23"/>
      <tableStyleElement type="headerRow" dxfId="22"/>
      <tableStyleElement type="firstColumn" dxfId="21"/>
    </tableStyle>
  </tableStyles>
  <colors>
    <mruColors>
      <color rgb="FF000099"/>
      <color rgb="FF0000FF"/>
      <color rgb="FF535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[KBI TSI - PC130-10M0 failures.xlsx]DashBoard!Tabela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DashBoard!$A$4:$A$30</c:f>
              <c:strCache>
                <c:ptCount val="26"/>
                <c:pt idx="0">
                  <c:v>714 - Arm</c:v>
                </c:pt>
                <c:pt idx="1">
                  <c:v>716 - Bucket</c:v>
                </c:pt>
                <c:pt idx="2">
                  <c:v>A1T - Muffler</c:v>
                </c:pt>
                <c:pt idx="3">
                  <c:v>H17 - Arm Cylinder</c:v>
                </c:pt>
                <c:pt idx="4">
                  <c:v>551 - Operator's Cab</c:v>
                </c:pt>
                <c:pt idx="5">
                  <c:v>450 - A/C</c:v>
                </c:pt>
                <c:pt idx="6">
                  <c:v>984 - Acessory / Others</c:v>
                </c:pt>
                <c:pt idx="7">
                  <c:v>RX0 - Control valve</c:v>
                </c:pt>
                <c:pt idx="8">
                  <c:v>D00 - Electric system</c:v>
                </c:pt>
                <c:pt idx="9">
                  <c:v>711 - Boom</c:v>
                </c:pt>
                <c:pt idx="10">
                  <c:v>301 - Track frame</c:v>
                </c:pt>
                <c:pt idx="11">
                  <c:v>6A0 - Hydraulic piping</c:v>
                </c:pt>
                <c:pt idx="12">
                  <c:v>L51 - Travel motor</c:v>
                </c:pt>
                <c:pt idx="13">
                  <c:v>H16 - Boom cylinder</c:v>
                </c:pt>
                <c:pt idx="14">
                  <c:v>000 - Machine</c:v>
                </c:pt>
                <c:pt idx="15">
                  <c:v>303 - Front idler</c:v>
                </c:pt>
                <c:pt idx="16">
                  <c:v>100 - Engine related parts</c:v>
                </c:pt>
                <c:pt idx="17">
                  <c:v>DA0 - Electronic controller</c:v>
                </c:pt>
                <c:pt idx="18">
                  <c:v>D61 - Battery</c:v>
                </c:pt>
                <c:pt idx="19">
                  <c:v>261 - Swing machinery</c:v>
                </c:pt>
                <c:pt idx="20">
                  <c:v>601 - Hydraulic tank</c:v>
                </c:pt>
                <c:pt idx="21">
                  <c:v>AB0 - Alternator</c:v>
                </c:pt>
                <c:pt idx="22">
                  <c:v>A00 - Engine</c:v>
                </c:pt>
                <c:pt idx="23">
                  <c:v>A30 - crankshaft</c:v>
                </c:pt>
                <c:pt idx="24">
                  <c:v>A90 - Turbocharger</c:v>
                </c:pt>
                <c:pt idx="25">
                  <c:v>(vazio)</c:v>
                </c:pt>
              </c:strCache>
            </c:strRef>
          </c:cat>
          <c:val>
            <c:numRef>
              <c:f>DashBoard!$B$4:$B$30</c:f>
              <c:numCache>
                <c:formatCode>General</c:formatCode>
                <c:ptCount val="26"/>
                <c:pt idx="0">
                  <c:v>69</c:v>
                </c:pt>
                <c:pt idx="1">
                  <c:v>20</c:v>
                </c:pt>
                <c:pt idx="2">
                  <c:v>18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A-477B-BD26-D1EB1FAE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31680"/>
        <c:axId val="168232640"/>
      </c:barChart>
      <c:catAx>
        <c:axId val="16823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32640"/>
        <c:crosses val="autoZero"/>
        <c:auto val="1"/>
        <c:lblAlgn val="ctr"/>
        <c:lblOffset val="100"/>
        <c:noMultiLvlLbl val="0"/>
      </c:catAx>
      <c:valAx>
        <c:axId val="1682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3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2</xdr:row>
      <xdr:rowOff>19050</xdr:rowOff>
    </xdr:from>
    <xdr:to>
      <xdr:col>12</xdr:col>
      <xdr:colOff>438149</xdr:colOff>
      <xdr:row>22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400F1A-B3B3-B255-38AB-D2A55B678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d Quirino" refreshedDate="45979.654742129627" createdVersion="8" refreshedVersion="8" minRefreshableVersion="3" recordCount="377" xr:uid="{D36E372D-6787-4AE4-B1FF-F25EAD21738D}">
  <cacheSource type="worksheet">
    <worksheetSource ref="A1:AF1048576" sheet="KBI (All) - SORT"/>
  </cacheSource>
  <cacheFields count="31">
    <cacheField name="Report ID" numFmtId="0">
      <sharedItems containsBlank="1"/>
    </cacheField>
    <cacheField name="Title" numFmtId="0">
      <sharedItems containsBlank="1"/>
    </cacheField>
    <cacheField name="Full Model" numFmtId="0">
      <sharedItems containsBlank="1"/>
    </cacheField>
    <cacheField name="Serial Number" numFmtId="0">
      <sharedItems containsBlank="1"/>
    </cacheField>
    <cacheField name="Code" numFmtId="0">
      <sharedItems containsBlank="1" count="37">
        <m/>
        <s v="000 - Machine"/>
        <s v="H17 - Arm Cylinder"/>
        <s v="602 - Hydraulic filter"/>
        <s v="450 - A/C"/>
        <s v="6A0 - Hydraulic piping"/>
        <s v="KOMTRAX"/>
        <s v="716 - Bucket"/>
        <s v="D00 - Electric system"/>
        <s v="DA0 - Electronic controller"/>
        <s v="A00 - Engine"/>
        <s v="301 - Track frame"/>
        <s v="551 - Operator's Cab"/>
        <s v="A1T - Muffler"/>
        <s v="714 - Arm"/>
        <s v="100 - Engine related parts"/>
        <s v="711 - Boom"/>
        <s v="984 - Acessory / Others"/>
        <s v="303 - Front idler"/>
        <s v="A90 - Turbocharger"/>
        <s v="279 - Sprocket"/>
        <s v="RX0 - Control valve"/>
        <s v="601 - Hydraulic tank"/>
        <s v="261 - Swing machinery"/>
        <s v="542 - Counterweight"/>
        <s v="K11 - Hyd. Piston Pump"/>
        <s v="H16 - Boom cylinder"/>
        <s v="D61 - Battery"/>
        <s v="L11 - Swing motor"/>
        <s v="304 - Track roller"/>
        <s v="AB0 - Alternator"/>
        <s v="H18 - Bucket cylinder"/>
        <s v="L51 - Travel motor"/>
        <s v="306  - Recoil spring"/>
        <s v="A30 - crankshaft"/>
        <s v="A60 - Water pump"/>
        <s v="571 - Operator's Cab"/>
      </sharedItems>
    </cacheField>
    <cacheField name="Failure" numFmtId="0">
      <sharedItems containsBlank="1"/>
    </cacheField>
    <cacheField name="Additional Failure Description" numFmtId="0">
      <sharedItems containsBlank="1"/>
    </cacheField>
    <cacheField name="Parent Case" numFmtId="0">
      <sharedItems containsBlank="1"/>
    </cacheField>
    <cacheField name="Failure SMR" numFmtId="0">
      <sharedItems containsString="0" containsBlank="1" containsNumber="1" minValue="2" maxValue="14019"/>
    </cacheField>
    <cacheField name="Active Stage" numFmtId="0">
      <sharedItems containsBlank="1"/>
    </cacheField>
    <cacheField name="Failure2" numFmtId="0">
      <sharedItems containsNonDate="0" containsDate="1" containsString="0" containsBlank="1" minDate="2022-04-04T00:00:00" maxDate="2025-11-18T00:00:00"/>
    </cacheField>
    <cacheField name="Machine" numFmtId="0">
      <sharedItems containsNonDate="0" containsDate="1" containsString="0" containsBlank="1" minDate="2022-05-25T00:00:00" maxDate="2025-10-17T00:00:00"/>
    </cacheField>
    <cacheField name="Machine2" numFmtId="14">
      <sharedItems containsNonDate="0" containsDate="1" containsString="0" containsBlank="1" minDate="2022-02-28T00:00:00" maxDate="2025-10-25T00:00:00"/>
    </cacheField>
    <cacheField name="Delivery" numFmtId="14">
      <sharedItems containsDate="1" containsBlank="1" containsMixedTypes="1" minDate="1899-12-31T00:00:00" maxDate="2025-11-07T00:00:00"/>
    </cacheField>
    <cacheField name="Failed Part Number" numFmtId="0">
      <sharedItems containsBlank="1"/>
    </cacheField>
    <cacheField name="Failed Part Name" numFmtId="0">
      <sharedItems containsBlank="1"/>
    </cacheField>
    <cacheField name="Component Name" numFmtId="0">
      <sharedItems containsBlank="1"/>
    </cacheField>
    <cacheField name="Phenomenon Name" numFmtId="0">
      <sharedItems containsBlank="1"/>
    </cacheField>
    <cacheField name="Plant" numFmtId="0">
      <sharedItems containsBlank="1"/>
    </cacheField>
    <cacheField name="Current Queue" numFmtId="0">
      <sharedItems containsBlank="1"/>
    </cacheField>
    <cacheField name="Status Reason" numFmtId="0">
      <sharedItems containsBlank="1"/>
    </cacheField>
    <cacheField name="Created" numFmtId="0">
      <sharedItems containsNonDate="0" containsDate="1" containsString="0" containsBlank="1" minDate="2022-05-02T00:00:00" maxDate="2025-11-19T00:00:00"/>
    </cacheField>
    <cacheField name="Distributor" numFmtId="0">
      <sharedItems containsBlank="1" count="12">
        <s v="MANTOMAC-CHA (213SCA)"/>
        <s v="VIANMAQ (213PRB)"/>
        <s v="F.W.MAQUINAS (213PEA)"/>
        <s v="Mason (213I)"/>
        <s v="DCCO (213GOC)"/>
        <s v="BAUKO (213SPA)"/>
        <s v="NOROESTE (2131D)"/>
        <s v="MASON NORTH (213PAE)"/>
        <s v="VAMOS (2131F)"/>
        <s v="DCDN (213CEB)"/>
        <s v="MASON EQUIPMETOS NORTHEAST (213PAE)"/>
        <m/>
      </sharedItems>
    </cacheField>
    <cacheField name="Subsidiary" numFmtId="0">
      <sharedItems containsBlank="1"/>
    </cacheField>
    <cacheField name="Issue2" numFmtId="0">
      <sharedItems containsNonDate="0" containsDate="1" containsString="0" containsBlank="1" minDate="2022-05-02T00:00:00" maxDate="2025-11-19T00:00:00"/>
    </cacheField>
    <cacheField name="Additional Notes(Request)" numFmtId="0">
      <sharedItems containsBlank="1" longText="1"/>
    </cacheField>
    <cacheField name="Distributor Contact" numFmtId="0">
      <sharedItems containsBlank="1"/>
    </cacheField>
    <cacheField name="Filial DB code" numFmtId="0">
      <sharedItems containsBlank="1"/>
    </cacheField>
    <cacheField name="LT DB" numFmtId="0">
      <sharedItems containsString="0" containsBlank="1" containsNumber="1" minValue="0" maxValue="687"/>
    </cacheField>
    <cacheField name="FY" numFmtId="0">
      <sharedItems containsBlank="1"/>
    </cacheField>
    <cacheField name="YEAR" numFmtId="0">
      <sharedItems containsString="0" containsBlank="1" containsNumber="1" containsInteger="1" minValue="2022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7">
  <r>
    <s v="KBISC202205531"/>
    <s v="PC130LC-10M0, CAB ASS'Y GROUP, RETROVISOR, WRONG/MISSING PART, SEM O ESPELHO RETROVISOR  "/>
    <s v="PC130LC-10M0"/>
    <s v="B20013"/>
    <x v="0"/>
    <m/>
    <s v="SEM O ESPELHO RETROVISOR"/>
    <m/>
    <n v="4"/>
    <s v="Sub.Received"/>
    <d v="2022-04-04T00:00:00"/>
    <m/>
    <d v="2022-03-21T00:00:00"/>
    <m/>
    <s v="2A5-54-13421"/>
    <s v="RETROVISOR"/>
    <s v="CAB ASS'Y GROUP"/>
    <s v="WRONG/MISSING PART"/>
    <s v="KDB (Plant) (51)"/>
    <s v="KBI - Construction Service"/>
    <s v="In Process"/>
    <d v="2022-05-02T00:00:00"/>
    <x v="0"/>
    <s v="KBI (9447)"/>
    <d v="2022-05-02T00:00:00"/>
    <s v="EQUIPAMENTO NOVO."/>
    <s v="Luciana Lumbieri"/>
    <s v="213RSB"/>
    <n v="28"/>
    <s v="FY2022"/>
    <n v="2022"/>
  </r>
  <r>
    <s v="KBIPR202205527"/>
    <s v="PC130LC-10M0, OTHERS, WEIGHT, DEFECTIVE APPEARANCE, FALHA NA PINTURA E DESALINHAMENTO DO CON  "/>
    <s v="PC130LC-10M0"/>
    <s v="B20003"/>
    <x v="1"/>
    <s v="Painting"/>
    <s v="FALHA NA PINTURA E DESALINHAMENTO DO CON"/>
    <m/>
    <n v="29.7"/>
    <s v="Plant.QA Approved"/>
    <d v="2022-04-08T00:00:00"/>
    <m/>
    <d v="2022-02-28T00:00:00"/>
    <d v="2022-04-08T00:00:00"/>
    <s v="204-46-B1010"/>
    <s v="WEIGHT"/>
    <s v="OTHERS"/>
    <s v="DEFECTIVE APPEARANCE"/>
    <s v="KDB (Plant) (51)"/>
    <s v="KDB - Quality Assurance"/>
    <s v="In Process"/>
    <d v="2022-05-03T00:00:00"/>
    <x v="1"/>
    <s v="KBI (9447)"/>
    <d v="2022-05-03T00:00:00"/>
    <s v="CLIENTE POSSUI 3 MÁQUINAS."/>
    <s v="Eduardo Lima"/>
    <s v="213PRB"/>
    <n v="25"/>
    <s v="FY2022"/>
    <n v="2022"/>
  </r>
  <r>
    <s v="KBIPE202205504"/>
    <s v="PC130LC-10M0, AIR SYSTEM, Caatiba, BA, WRONG/MISSING PART, Falta retencao de particulado  "/>
    <s v="PC130LC-10M0"/>
    <s v="B20014"/>
    <x v="0"/>
    <m/>
    <s v="Falta retencao de particulado"/>
    <m/>
    <n v="8"/>
    <s v="Plant.QA Approved"/>
    <d v="2022-04-28T00:00:00"/>
    <m/>
    <d v="2022-03-23T00:00:00"/>
    <m/>
    <s v="204-03-71411"/>
    <s v="Caatiba, BA"/>
    <s v="AIR SYSTEM"/>
    <s v="WRONG/MISSING PART"/>
    <s v="KDB (Plant) (51)"/>
    <s v="KDB - Quality Assurance"/>
    <s v="In Process"/>
    <d v="2022-05-02T00:00:00"/>
    <x v="2"/>
    <s v="KBI (9447)"/>
    <d v="2022-06-07T00:00:00"/>
    <s v="Equipamento chegou de fabrica sem o item especificado, provavelmente sobrou na hora da montagem, gentileza averiguar internamente o motivo da falta"/>
    <s v="Marcos Santos"/>
    <s v="213BAB"/>
    <n v="40"/>
    <s v="FY2022"/>
    <n v="2022"/>
  </r>
  <r>
    <s v="KBISC202206572"/>
    <s v="PC130LC-10M0, MACHINE, ., DEFECTIVE APPEARANCE, EQUIPAMENTO COM VARIOS DEFEITOS ESTETICO  "/>
    <s v="PC130LC-10M0"/>
    <s v="B20059"/>
    <x v="1"/>
    <s v="Painting"/>
    <s v="EQUIPAMENTO COM VARIOS DEFEITOS ESTETICO"/>
    <m/>
    <n v="5"/>
    <s v="Closed"/>
    <d v="2022-05-24T00:00:00"/>
    <d v="2022-05-25T00:00:00"/>
    <d v="2022-05-11T00:00:00"/>
    <m/>
    <s v="."/>
    <s v="."/>
    <s v="MACHINE"/>
    <s v="DEFECTIVE APPEARANCE"/>
    <s v="KDB (Plant) (51)"/>
    <m/>
    <s v="Completed"/>
    <d v="2022-06-21T00:00:00"/>
    <x v="0"/>
    <s v="KBI (9447)"/>
    <d v="2022-06-21T00:00:00"/>
    <s v="Por fim, graças ao trabalho do Distribuidor para corrigir as falhas aparentes no recebimento do equipamento novo, o cliente final recebeu seu equipamento e por enquanto não houve reclamações sobre os problemas acima mencionados._x000a_Porém o equipamento atrasou em 2 dias ser entregue ao cliente devido os reparos que foram necessários serem executados."/>
    <s v="Jonatas Kammer"/>
    <s v="213SCB"/>
    <n v="28"/>
    <s v="FY2022"/>
    <n v="2022"/>
  </r>
  <r>
    <s v="KBISC202206578"/>
    <s v="PC130LC-10M0, MACHINE, 0, DEFECTIVE APPEARANCE, EQUIPAMENTO COM VARIOS DEFEITOS NA ESTET  "/>
    <s v="PC130LC-10M0"/>
    <s v="B20056"/>
    <x v="1"/>
    <s v="Painting"/>
    <s v="EQUIPAMENTO COM VARIOS DEFEITOS NA ESTET"/>
    <m/>
    <n v="4"/>
    <s v="Closed"/>
    <d v="2022-05-25T00:00:00"/>
    <d v="2022-05-26T00:00:00"/>
    <d v="2022-05-02T00:00:00"/>
    <d v="2022-06-01T00:00:00"/>
    <s v="0"/>
    <s v="0"/>
    <s v="MACHINE"/>
    <s v="DEFECTIVE APPEARANCE"/>
    <s v="KDB (Plant) (51)"/>
    <m/>
    <s v="Completed"/>
    <d v="2022-06-22T00:00:00"/>
    <x v="0"/>
    <s v="KBI (9447)"/>
    <d v="2022-06-22T00:00:00"/>
    <s v="Após os ajustes acima mencionados, o equipamento ficou em boas condições para ser entregue ao cliente final, que não reclamou de nada que referente aos defeitos encontrados e acima mencionados._x000a_Devido aos reparos que necessitaram correção, o equipamento foi entregue ao cliente final com 1 dia de atraso perante o combinado."/>
    <s v="Jonatas Kammer"/>
    <s v="213SCB"/>
    <n v="28"/>
    <s v="FY2022"/>
    <n v="2022"/>
  </r>
  <r>
    <s v="KBIMB202207553"/>
    <s v="PC130LC-10M0, HYDRAULIC CONTROL VALVE, ORING, ENTER/LEAKS, Vazamento de óleo na mangueira do SwiveL  "/>
    <s v="PC130LC-10M0"/>
    <s v="B20049"/>
    <x v="0"/>
    <m/>
    <s v="Vazamento de óleo na mangueira do SwiveL"/>
    <m/>
    <n v="13"/>
    <s v="Plant.Confirmed"/>
    <d v="2022-07-09T00:00:00"/>
    <d v="2022-07-11T00:00:00"/>
    <d v="2022-04-22T00:00:00"/>
    <m/>
    <s v="02896-11015"/>
    <s v="ORING"/>
    <s v="HYDRAULIC CONTROL VALVE"/>
    <s v="ENTER/LEAKS"/>
    <s v="KDB (Plant) (51)"/>
    <s v="KDB - Quality Assurance"/>
    <s v="In Process"/>
    <d v="2022-07-14T00:00:00"/>
    <x v="3"/>
    <s v="KBI (9447)"/>
    <d v="2022-07-25T00:00:00"/>
    <s v="Equipamento veio de fábrica com as conexões da mangueiras do Swivel lado esquerdo frouxas. Efetuamos o atendimento, resolvendo o problema."/>
    <s v="Higor Alves"/>
    <s v="213MGC"/>
    <n v="16"/>
    <s v="FY2022"/>
    <n v="2022"/>
  </r>
  <r>
    <s v="KBI9A202207556"/>
    <s v="PC130LC-10M0, HYDRAULIC CYLINDER, Cilindro do Braço, ENTER/LEAKS, B20036  "/>
    <s v="PC130LC-10M0"/>
    <s v="B20036"/>
    <x v="2"/>
    <s v="Vazamento cilindro do braço"/>
    <s v="B20036"/>
    <m/>
    <n v="438"/>
    <s v="Plant.QA Approved"/>
    <d v="2022-07-25T00:00:00"/>
    <m/>
    <d v="2022-04-11T00:00:00"/>
    <d v="2022-05-20T00:00:00"/>
    <s v="707-G1-X7160"/>
    <s v="Cilindro do Braço"/>
    <s v="HYDRAULIC CYLINDER"/>
    <s v="ENTER/LEAKS"/>
    <s v="KDB (Plant) (51)"/>
    <s v="KDB - Quality Assurance"/>
    <s v="In Process"/>
    <d v="2022-07-26T00:00:00"/>
    <x v="4"/>
    <s v="KBI (9447)"/>
    <d v="2022-07-26T00:00:00"/>
    <s v="Essa é a primeira falha ocorrida em nossa região neste modelo de equipamento. A princípio não há evidências de mau uso que possam ter ocasionado na falha identificada pelo cliente."/>
    <s v="Pedro Vaz"/>
    <s v="213GOC"/>
    <n v="1"/>
    <s v="FY2022"/>
    <n v="2022"/>
  </r>
  <r>
    <s v="KBISP202208580"/>
    <s v="PC130LC-10M0, ENGINE ASSY, muffler, DEFECTIVE APPEARANCE,   "/>
    <s v="PC130LC-10M0"/>
    <s v="B20033"/>
    <x v="0"/>
    <m/>
    <m/>
    <m/>
    <n v="251"/>
    <s v="Closed"/>
    <d v="2022-07-26T00:00:00"/>
    <d v="2022-07-26T00:00:00"/>
    <d v="2022-03-30T00:00:00"/>
    <d v="2022-04-19T00:00:00"/>
    <s v="6271-11-5230"/>
    <s v="muffler"/>
    <s v="ENGINE ASSY"/>
    <s v="DEFECTIVE APPEARANCE"/>
    <s v="KDB (Plant) (51)"/>
    <m/>
    <s v="Completed"/>
    <d v="2022-08-11T00:00:00"/>
    <x v="5"/>
    <s v="KBI (9447)"/>
    <d v="2022-08-11T00:00:00"/>
    <s v="MAQUINA PERTENCE A BAUKO MAQUINAS (RENTAL) AO FAZER A INSPEÇÃO DE 250 HORAS PARA LIBERAÇÃO PARA NO CLIENTE FOI CONSTATADO O RUIDO ORIUNDO DO SILENCIOSO SEMELHANTE AO OCORRIDO NAS PC130-8, MAQUINA ATUALMENTE ESTA ALUGADA PARA O CLIENTE HANS JOSEFE."/>
    <s v="Gabriel Augusto"/>
    <s v="213ESD"/>
    <n v="16"/>
    <s v="FY2022"/>
    <n v="2022"/>
  </r>
  <r>
    <s v="KBI1D202208515"/>
    <s v="PC130LC-10M0, BUCKET(H/E BACKHOE), Dente de Aço, BROKEN,   "/>
    <s v="PC130LC-10M0"/>
    <s v="B20040"/>
    <x v="0"/>
    <m/>
    <m/>
    <m/>
    <n v="117"/>
    <s v="Sub.Submitted"/>
    <d v="2022-06-17T00:00:00"/>
    <d v="2022-08-17T00:00:00"/>
    <d v="2022-04-11T00:00:00"/>
    <m/>
    <s v="KH20S"/>
    <s v="Dente de Aço"/>
    <s v="BUCKET(H/E BACKHOE)"/>
    <s v="BROKEN"/>
    <s v="KDB (Plant) (51)"/>
    <s v="&lt;Guilherme Augusto Macedo&gt;"/>
    <s v="In Process"/>
    <d v="2022-08-18T00:00:00"/>
    <x v="6"/>
    <s v="KBI (9447)"/>
    <d v="2022-08-18T00:00:00"/>
    <s v="Primeiro equipamento PC130, vendido na regiao norte."/>
    <s v="Bruno Rocha"/>
    <s v="2131D"/>
    <n v="62"/>
    <s v="FY2022"/>
    <n v="2022"/>
  </r>
  <r>
    <s v="KBISC202208629"/>
    <s v="PC130LC-10M0, FUEL TANK GROUP, FILTRO SEPARADOR, ENTER/LEAKS, TRINCA NO FILTRO SEPARADOR DO DIESEL  "/>
    <s v="PC130LC-10M0"/>
    <s v="B20056"/>
    <x v="3"/>
    <m/>
    <s v="TRINCA NO FILTRO SEPARADOR DO DIESEL"/>
    <m/>
    <n v="66"/>
    <s v="Plant.Confirmed"/>
    <d v="2022-06-28T00:00:00"/>
    <d v="2022-08-31T00:00:00"/>
    <d v="2022-05-02T00:00:00"/>
    <d v="2022-06-01T00:00:00"/>
    <s v="600-311-9921"/>
    <s v="FILTRO SEPARADOR"/>
    <s v="FUEL TANK GROUP"/>
    <s v="ENTER/LEAKS"/>
    <s v="KDB (Plant) (51)"/>
    <s v="KDB - Quality Assurance"/>
    <s v="In Process"/>
    <d v="2022-08-31T00:00:00"/>
    <x v="0"/>
    <s v="KBI (9447)"/>
    <d v="2022-08-31T00:00:00"/>
    <m/>
    <s v="Jonatas Kammer"/>
    <s v="213SCB"/>
    <n v="64"/>
    <s v="FY2022"/>
    <n v="2022"/>
  </r>
  <r>
    <s v="KBISP202209501"/>
    <s v="PC130LC-10M0, RADIATOR GROUP, NA, HIGH/LOW LEVEL,   "/>
    <s v="PC130LC-10M0"/>
    <s v="B20095"/>
    <x v="0"/>
    <m/>
    <m/>
    <m/>
    <n v="70"/>
    <s v="Plant.Confirmed"/>
    <d v="2022-08-16T00:00:00"/>
    <d v="2022-08-29T00:00:00"/>
    <d v="2022-06-22T00:00:00"/>
    <d v="2022-08-03T00:00:00"/>
    <s v="NA"/>
    <s v="NA"/>
    <s v="RADIATOR GROUP"/>
    <s v="HIGH/LOW LEVEL"/>
    <s v="KDB (Plant) (51)"/>
    <s v="KDB - Quality Assurance"/>
    <s v="In Process"/>
    <d v="2022-09-01T00:00:00"/>
    <x v="5"/>
    <s v="KBI (9447)"/>
    <d v="2022-09-01T00:00:00"/>
    <s v="CASO RETOME O VAZAMENTO, ENTRAR EM CONTATO COM A BAUKO._x000a_FOI REAPERTADO TODAS AS PRESILHAS DA LINHA DE ARREFECIMENTO, COMPLETADO O LIQUIDO ARREFECIMENTO E O EQUIPAMENTO VOLTOU A OPERAR SEM VAZAMENTOS."/>
    <s v="Rafaella Ribeiro"/>
    <s v="213SPC"/>
    <n v="16"/>
    <s v="FY2022"/>
    <n v="2022"/>
  </r>
  <r>
    <s v="KBISC202209502"/>
    <s v="PC130LC-10M0, RADIATOR GROUP, NET, MALFUNCTION, FALTA DA TELA DE PROTEÇAO DOS RADIADORES  "/>
    <s v="PC130LC-10M0"/>
    <s v="B20013"/>
    <x v="0"/>
    <m/>
    <s v="FALTA DA TELA DE PROTEÇAO DOS RADIADORES"/>
    <m/>
    <n v="468"/>
    <s v="Plant.Confirmed"/>
    <d v="2022-08-26T00:00:00"/>
    <m/>
    <d v="2022-03-21T00:00:00"/>
    <d v="2022-04-12T00:00:00"/>
    <s v="204-03-71411"/>
    <s v="NET"/>
    <s v="RADIATOR GROUP"/>
    <s v="MALFUNCTION"/>
    <s v="KDB (Plant) (51)"/>
    <s v="KDB - Quality Assurance"/>
    <s v="In Process"/>
    <d v="2022-09-06T00:00:00"/>
    <x v="0"/>
    <s v="KBI (9447)"/>
    <d v="2022-09-06T00:00:00"/>
    <s v="EQUIPAMENTO NOVO COM AS MANUTENÇOES EM DIA."/>
    <s v="Luciana Lumbieri"/>
    <s v="213RSB"/>
    <n v="11"/>
    <s v="FY2022"/>
    <n v="2022"/>
  </r>
  <r>
    <s v="KBISP202209505"/>
    <s v="PC130LC-10M0, ACCESSORY &amp; PARTS, Cover, WRONG/MISSING PART,   "/>
    <s v="PC130LC-10M0"/>
    <s v="B20089"/>
    <x v="0"/>
    <m/>
    <m/>
    <m/>
    <n v="5"/>
    <s v="Plant.Confirmed"/>
    <d v="2022-08-08T00:00:00"/>
    <d v="2022-08-30T00:00:00"/>
    <d v="2022-06-21T00:00:00"/>
    <m/>
    <s v="203-46-56160"/>
    <s v="Cover"/>
    <s v="ACCESSORY &amp; PARTS"/>
    <s v="WRONG/MISSING PART"/>
    <s v="KDB (Plant) (51)"/>
    <s v="KDB - Quality Assurance"/>
    <s v="In Process"/>
    <d v="2022-09-09T00:00:00"/>
    <x v="5"/>
    <s v="KBI (9447)"/>
    <d v="2022-09-09T00:00:00"/>
    <m/>
    <s v="Luis Siqueira"/>
    <s v="213SPA"/>
    <n v="32"/>
    <s v="FY2022"/>
    <n v="2022"/>
  </r>
  <r>
    <s v="KBISC202209504"/>
    <s v="PC130LC-10M0, AIR CONDITIONER, SUPORTE CONDENSADOR, BROKEN, QUEBRA DO SUPORTE DO CONDENSADOR  "/>
    <s v="PC130LC-10M0"/>
    <s v="B20051"/>
    <x v="4"/>
    <s v="Condensor support crack"/>
    <s v="QUEBRA DO SUPORTE DO CONDENSADOR"/>
    <m/>
    <n v="568"/>
    <s v="Plant.Confirmed"/>
    <d v="2022-09-09T00:00:00"/>
    <m/>
    <d v="2022-04-26T00:00:00"/>
    <d v="2022-05-13T00:00:00"/>
    <s v="204-03-72111"/>
    <s v="SUPORTE CONDENSADOR"/>
    <s v="AIR CONDITIONER"/>
    <s v="BROKEN"/>
    <s v="KDB (Plant) (51)"/>
    <s v="KDB - Quality Assurance"/>
    <s v="In Process"/>
    <d v="2022-09-12T00:00:00"/>
    <x v="0"/>
    <s v="KBI (9447)"/>
    <d v="2022-09-12T00:00:00"/>
    <s v="Obs: Já foi notado em todos os equipamentos recebidos novos na Mantomac deste modelo (PC130LC-10M0) que este suporte do condensador possui folga nas dobradiças, e com o trabalhar do equipamento há o balançar/trepidar de toda a estrutura (suporte do condensador e condensador). Necessário avaliar internamente."/>
    <s v="Jonatas Kammer"/>
    <s v="213SCB"/>
    <n v="3"/>
    <s v="FY2022"/>
    <n v="2022"/>
  </r>
  <r>
    <s v="KBISC202209510"/>
    <s v="PC130LC-10M0, AIR CONDITIONER, TRAVA SUPORTE CONDENSADOR, SERVICEABILITY, FOLGA NA TRAVA DO SUPORTE DO CONDENSADOR  "/>
    <s v="PC130LC-10M0"/>
    <s v="B20056"/>
    <x v="4"/>
    <s v="Condensor support crack"/>
    <s v="FOLGA NA TRAVA DO SUPORTE DO CONDENSADOR"/>
    <m/>
    <n v="231"/>
    <s v="Sub.Received"/>
    <d v="2022-08-31T00:00:00"/>
    <d v="2022-08-31T00:00:00"/>
    <d v="2022-05-02T00:00:00"/>
    <d v="2022-06-01T00:00:00"/>
    <s v="2A3-03-12850"/>
    <s v="TRAVA SUPORTE CONDENSADOR"/>
    <s v="AIR CONDITIONER"/>
    <s v="SERVICEABILITY"/>
    <s v="KDB (Plant) (51)"/>
    <s v="KBI - Construction Service"/>
    <s v="In Process"/>
    <d v="2022-09-14T00:00:00"/>
    <x v="0"/>
    <s v="KBI (9447)"/>
    <d v="2022-09-14T00:00:00"/>
    <s v="Favor consultar a TSI: KBISC202209504 que trás a falha semelhante, porém neste caso houve a quebra da solda da dobradiça deste suporte do motor._x000a_Equipamento do mesmo modelo: PC130LC-10M0 e série: B20051."/>
    <s v="Jonatas Kammer"/>
    <s v="213SCB"/>
    <n v="14"/>
    <s v="FY2022"/>
    <n v="2022"/>
  </r>
  <r>
    <s v="KBISC202209512"/>
    <s v="PC130LC-10M0, AIR CONDITIONER, TRAVA SUPORTE CONDENSADOR, SERVICEABILITY, FOLGA NO SUPORTE DO CONDENSADOR  "/>
    <s v="PC130LC-10M0"/>
    <s v="B20080"/>
    <x v="4"/>
    <s v="Condensor support crack"/>
    <s v="FOLGA NO SUPORTE DO CONDENSADOR"/>
    <m/>
    <n v="222"/>
    <s v="Sub.Received"/>
    <d v="2022-08-16T00:00:00"/>
    <d v="2022-08-16T00:00:00"/>
    <d v="2022-06-03T00:00:00"/>
    <d v="2022-06-22T00:00:00"/>
    <s v="2A3-03-12850"/>
    <s v="TRAVA SUPORTE CONDENSADOR"/>
    <s v="AIR CONDITIONER"/>
    <s v="SERVICEABILITY"/>
    <s v="KDB (Plant) (51)"/>
    <s v="KBI - Construction Service"/>
    <s v="In Process"/>
    <d v="2022-09-16T00:00:00"/>
    <x v="0"/>
    <s v="KBI (9447)"/>
    <d v="2022-09-16T00:00:00"/>
    <s v="Problema já encontrado em mais equipamentos deste modelo."/>
    <s v="Jonatas Kammer"/>
    <s v="213SCB"/>
    <n v="31"/>
    <s v="FY2022"/>
    <n v="2022"/>
  </r>
  <r>
    <s v="KBISP202209507"/>
    <s v="PC130LC-10M0, RADIATOR GROUP, NIVEL BAIXO ANTICONGELANTE, HIGH/LOW LEVEL, NIVEL BAIXO LIQ ARREFECIMENTO NO RESERVA  "/>
    <s v="PC130LC-10M0"/>
    <s v="B20116"/>
    <x v="0"/>
    <m/>
    <s v="NIVEL BAIXO LIQ ARREFECIMENTO NO RESERVA"/>
    <s v="PC130LC-10M0, TC COOLER &amp; OIL COOLER GROUP, NIVEL BAIXO ANTICONGELANTE, HIGH/LOW LEVEL,   "/>
    <n v="116"/>
    <s v="Plant.Confirmed"/>
    <d v="2022-09-15T00:00:00"/>
    <d v="2022-09-15T00:00:00"/>
    <d v="2022-07-20T00:00:00"/>
    <d v="2022-08-24T00:00:00"/>
    <s v="600-411-1113"/>
    <s v="NIVEL BAIXO ANTICONGELANTE"/>
    <s v="RADIATOR GROUP"/>
    <s v="HIGH/LOW LEVEL"/>
    <s v="KDB (Plant) (51)"/>
    <s v="KDB - Quality Assurance"/>
    <s v="In Process"/>
    <d v="2022-09-16T00:00:00"/>
    <x v="5"/>
    <s v="KBI (9447)"/>
    <d v="2022-09-16T00:00:00"/>
    <m/>
    <s v="Calvin Lee"/>
    <s v="213SPB"/>
    <n v="1"/>
    <s v="FY2022"/>
    <n v="2022"/>
  </r>
  <r>
    <s v="KBISP202209508"/>
    <s v="PC130LC-10M0, ACCESSORY &amp; PARTS, PARAFUSO, DEFECTIVE ADJUSTMENT,   "/>
    <s v="PC130LC-10M0"/>
    <s v="B20144"/>
    <x v="0"/>
    <m/>
    <m/>
    <m/>
    <n v="4"/>
    <s v="Sub.Received"/>
    <d v="2022-09-15T00:00:00"/>
    <d v="2022-09-15T00:00:00"/>
    <d v="2022-08-24T00:00:00"/>
    <m/>
    <s v="22B-32-21230"/>
    <s v="PARAFUSO"/>
    <s v="ACCESSORY &amp; PARTS"/>
    <s v="DEFECTIVE ADJUSTMENT"/>
    <s v="KDB (Plant) (51)"/>
    <s v="KBI - Construction Service"/>
    <s v="In Process"/>
    <d v="2022-09-16T00:00:00"/>
    <x v="5"/>
    <s v="KBI (9447)"/>
    <d v="2022-09-16T00:00:00"/>
    <m/>
    <s v="Luis Siqueira"/>
    <s v="213SPA"/>
    <n v="1"/>
    <s v="FY2022"/>
    <n v="2022"/>
  </r>
  <r>
    <s v="KBIMB202209516"/>
    <s v="PC130LC-10M0, ARM, Mangueira, ENTER/LEAKS, Vazamento mangueira braço lado direito  "/>
    <s v="PC130LC-10M0"/>
    <s v="B20136"/>
    <x v="5"/>
    <s v="Hose leak"/>
    <s v="Vazamento mangueira braço lado direito"/>
    <m/>
    <n v="4"/>
    <s v="Plant.QA Approved"/>
    <d v="2022-08-23T00:00:00"/>
    <d v="2022-08-23T00:00:00"/>
    <d v="2022-08-16T00:00:00"/>
    <m/>
    <s v="02756-20513"/>
    <s v="Mangueira"/>
    <s v="ARM"/>
    <s v="ENTER/LEAKS"/>
    <s v="KDB (Plant) (51)"/>
    <s v="KDB - Quality Assurance"/>
    <s v="In Process"/>
    <d v="2022-09-23T00:00:00"/>
    <x v="3"/>
    <s v="KBI (9447)"/>
    <d v="2022-09-23T00:00:00"/>
    <s v="Cliente não ficou sabendo do ocorrido pois, foi detectado na chegada da máquina à Mason CTG._x000a__x000a_Os custos de serviços serão enviados à Komatsu para reembolso em garantia."/>
    <s v="Leandro Leite"/>
    <s v="213I"/>
    <n v="31"/>
    <s v="FY2022"/>
    <n v="2022"/>
  </r>
  <r>
    <s v="KBISP202209511"/>
    <s v="PC130LC-10M0, RADIATOR GROUP, ADAPTADOR, ENTER/LEAKS,   "/>
    <s v="PC130LC-10M0"/>
    <s v="B20117"/>
    <x v="0"/>
    <m/>
    <m/>
    <m/>
    <n v="43"/>
    <s v="Plant.Confirmed"/>
    <d v="2022-09-19T00:00:00"/>
    <m/>
    <d v="2022-07-22T00:00:00"/>
    <d v="2022-09-19T00:00:00"/>
    <s v="6208-51-5410"/>
    <s v="ADAPTADOR"/>
    <s v="RADIATOR GROUP"/>
    <s v="ENTER/LEAKS"/>
    <s v="KDB (Plant) (51)"/>
    <s v="&lt;Guilherme Augusto Macedo&gt;"/>
    <s v="Pending Request"/>
    <d v="2022-09-26T00:00:00"/>
    <x v="5"/>
    <s v="KBI (9447)"/>
    <d v="2022-09-26T00:00:00"/>
    <m/>
    <s v="Luis Siqueira"/>
    <s v="213SPA"/>
    <n v="7"/>
    <s v="FY2022"/>
    <n v="2022"/>
  </r>
  <r>
    <s v="KBISP202209515"/>
    <s v="PC130LC-10M0, OPERATOR CAB &amp; ROPS, SELO, ENTER/LEAKS,   "/>
    <s v="PC130LC-10M0"/>
    <s v="B20108"/>
    <x v="0"/>
    <m/>
    <m/>
    <m/>
    <n v="162"/>
    <s v="Sub.Received"/>
    <d v="2022-09-22T00:00:00"/>
    <m/>
    <d v="2022-07-11T00:00:00"/>
    <m/>
    <s v="20Y-53-11540"/>
    <s v="SELO"/>
    <s v="OPERATOR CAB &amp; ROPS"/>
    <s v="ENTER/LEAKS"/>
    <s v="KDB (Plant) (51)"/>
    <s v="KBI - Construction Service"/>
    <s v="In Process"/>
    <d v="2022-09-27T00:00:00"/>
    <x v="5"/>
    <s v="KBI (9447)"/>
    <d v="2022-09-27T00:00:00"/>
    <m/>
    <s v="Luis Siqueira"/>
    <s v="213SPA"/>
    <n v="5"/>
    <s v="FY2022"/>
    <n v="2022"/>
  </r>
  <r>
    <s v="KBISP202210500"/>
    <s v="PC130LC-10M0, OTHERS, CONJUNTO ESTEIRA, DEFECTIVE APPEARANCE,   "/>
    <s v="PC130LC-10M0"/>
    <s v="B20035"/>
    <x v="0"/>
    <m/>
    <m/>
    <m/>
    <n v="454"/>
    <s v="Closed"/>
    <d v="2022-09-28T00:00:00"/>
    <m/>
    <d v="2022-03-31T00:00:00"/>
    <d v="2022-04-07T00:00:00"/>
    <s v="203-32-02482"/>
    <s v="CONJUNTO ESTEIRA"/>
    <s v="OTHERS"/>
    <s v="DEFECTIVE APPEARANCE"/>
    <s v="KDB (Plant) (51)"/>
    <m/>
    <s v="Completed"/>
    <d v="2022-10-03T00:00:00"/>
    <x v="5"/>
    <s v="KBI (9447)"/>
    <d v="2022-10-03T00:00:00"/>
    <m/>
    <s v="Luis Siqueira"/>
    <s v="213SPA"/>
    <n v="5"/>
    <s v="FY2022"/>
    <n v="2022"/>
  </r>
  <r>
    <s v="KBISP202210513"/>
    <s v="PC130LC-10M0, OTHERS, CONJUNTO ESTEIRA, DEFECTIVE APPEARANCE,   "/>
    <s v="PC130LC-10M0"/>
    <s v="B20092"/>
    <x v="0"/>
    <m/>
    <m/>
    <m/>
    <n v="22"/>
    <s v="Sub.Received"/>
    <d v="2022-10-07T00:00:00"/>
    <m/>
    <d v="2022-06-22T00:00:00"/>
    <d v="2022-09-13T00:00:00"/>
    <s v="203-32-02482"/>
    <s v="CONJUNTO ESTEIRA"/>
    <s v="OTHERS"/>
    <s v="DEFECTIVE APPEARANCE"/>
    <s v="KDB (Plant) (51)"/>
    <s v="KBI - Construction Service"/>
    <s v="In Process"/>
    <d v="2022-10-19T00:00:00"/>
    <x v="5"/>
    <s v="KBI (9447)"/>
    <d v="2022-10-19T00:00:00"/>
    <m/>
    <s v="Luis Siqueira"/>
    <s v="213SPA"/>
    <n v="12"/>
    <s v="FY2022"/>
    <n v="2022"/>
  </r>
  <r>
    <s v="KBISC202210519"/>
    <s v="PC130LC-10M0, ACCESSORY &amp; PARTS, FECHADURA PORTA INSPEÇÃO, WRONG/MISSING PART, PERDA DA TRAVA DA PORTA DE INSPEÇÃO  "/>
    <s v="PC130LC-10M0"/>
    <s v="B20113"/>
    <x v="0"/>
    <m/>
    <s v="PERDA DA TRAVA DA PORTA DE INSPEÇÃO"/>
    <m/>
    <n v="212"/>
    <s v="Sub.Received"/>
    <d v="2022-09-29T00:00:00"/>
    <m/>
    <d v="2022-07-20T00:00:00"/>
    <m/>
    <s v="20Y-54-77160"/>
    <s v="FECHADURA PORTA INSPEÇÃO"/>
    <s v="ACCESSORY &amp; PARTS"/>
    <s v="WRONG/MISSING PART"/>
    <s v="KDB (Plant) (51)"/>
    <s v="KBI - Construction Service"/>
    <s v="In Process"/>
    <d v="2022-10-24T00:00:00"/>
    <x v="0"/>
    <s v="KBI (9447)"/>
    <d v="2022-10-24T00:00:00"/>
    <m/>
    <s v="Jonatas Kammer"/>
    <s v="213SCB"/>
    <n v="25"/>
    <s v="FY2022"/>
    <n v="2022"/>
  </r>
  <r>
    <s v="KBI9A202209504"/>
    <s v="PC130LC-10M0, REVOLVING FRAME,COUNTER WEIGHT, Espuma, DEFECTIVE ADJUSTMENT, B20042  "/>
    <s v="PC130LC-10M0"/>
    <s v="B20042"/>
    <x v="0"/>
    <m/>
    <s v="B20042"/>
    <m/>
    <n v="532"/>
    <s v="Sub.Received"/>
    <d v="2022-09-22T00:00:00"/>
    <m/>
    <d v="2022-04-11T00:00:00"/>
    <d v="2022-07-20T00:00:00"/>
    <s v="203-54-17270"/>
    <s v="Espuma"/>
    <s v="REVOLVING FRAME,COUNTER WEIGHT"/>
    <s v="DEFECTIVE ADJUSTMENT"/>
    <s v="KDB (Plant) (51)"/>
    <s v="KBI - Construction Service"/>
    <s v="In Process"/>
    <d v="2022-09-28T00:00:00"/>
    <x v="4"/>
    <s v="KBI (9447)"/>
    <d v="2022-10-26T00:00:00"/>
    <s v="Essa e a primeira falha ocorrida em nossa região. A principio e necessário fazer a fixação da espuma ou fazer a sua substituição"/>
    <s v="CLAYTON SOUSA"/>
    <s v="213GOC"/>
    <n v="34"/>
    <s v="FY2022"/>
    <n v="2022"/>
  </r>
  <r>
    <s v="KBISC202211500"/>
    <s v="PC130LC-10M0, AIR CONDITIONER, HOSE, MALFUNCTION, AR CONDICIONADO NAO ESTA FUNCIONANDO  "/>
    <s v="PC130LC-10M0"/>
    <s v="B20154"/>
    <x v="4"/>
    <s v="Condensor support crack"/>
    <s v="AR CONDICIONADO NAO ESTA FUNCIONANDO"/>
    <m/>
    <n v="16"/>
    <s v="Plant.Confirmed"/>
    <d v="2022-10-03T00:00:00"/>
    <d v="2022-10-28T00:00:00"/>
    <d v="2022-09-12T00:00:00"/>
    <d v="2022-10-03T00:00:00"/>
    <s v="204-979-7121"/>
    <s v="HOSE"/>
    <s v="AIR CONDITIONER"/>
    <s v="MALFUNCTION"/>
    <s v="KDB (Plant) (51)"/>
    <s v="KDB - Quality Assurance"/>
    <s v="In Process"/>
    <d v="2022-11-03T00:00:00"/>
    <x v="0"/>
    <s v="KBI (9447)"/>
    <d v="2022-11-03T00:00:00"/>
    <s v="EQUIPAMENTO NOVO._x000a_CLIENTE FECHOU PLANO PMP 250 – 2000 HRS."/>
    <s v="Luciana Lumbieri"/>
    <s v="213RSB"/>
    <n v="31"/>
    <s v="FY2022"/>
    <n v="2022"/>
  </r>
  <r>
    <s v="KBISP202210514"/>
    <s v="PC130LC-10M0, TRAVEL MOTOR ASSY, MOTOR DE DESLOCAMENTO, DEFECTIVE APPEARANCE, DIFERNÇA VELOC. MOTORES DE DESLOCAMENTO  "/>
    <s v="PC130LC-10M0"/>
    <s v="B20108"/>
    <x v="0"/>
    <m/>
    <s v="DIFERNÇA VELOC. MOTORES DE DESLOCAMENTO"/>
    <m/>
    <n v="317"/>
    <s v="Sub.Received"/>
    <d v="2022-10-18T00:00:00"/>
    <m/>
    <d v="2022-07-11T00:00:00"/>
    <m/>
    <s v="TZ710D200000-B"/>
    <s v="MOTOR DE DESLOCAMENTO"/>
    <s v="TRAVEL MOTOR ASSY"/>
    <s v="DEFECTIVE APPEARANCE"/>
    <s v="KDB (Plant) (51)"/>
    <s v="KBI - Construction Service"/>
    <s v="In Process"/>
    <d v="2022-10-19T00:00:00"/>
    <x v="5"/>
    <s v="KBI (9447)"/>
    <d v="2022-11-08T00:00:00"/>
    <s v="TÉCNICO REALIZOU SEGUNDA VISITA PARA TESTES NA DATA DE 28/10/2022 - REALIZADO INVERSÃO DAS VÁLVULAS DE ALÍVIO DOS MOTORES HIDRAULICOS, VERIFICADO SOLENÓIDES DA RÉGUA, TESTE DE FULGA NO MOTOR DE AMBOS OS LADOS, PRESSÃO DE STOLL DOS MOTORES 354KgF/cm._x000a_TODOS OS TESTES ESTÃO DENTRO DO PADRÃO, PORÉM MESMO ASSIM MÁQUINA CONTINUA DESVIANDO."/>
    <s v="Calvin Lee"/>
    <s v="213SPB"/>
    <n v="21"/>
    <s v="FY2022"/>
    <n v="2022"/>
  </r>
  <r>
    <s v="KBISP202211503"/>
    <s v="PC130LC-10M0, ENGINE ASSY, VÁLVULA DRENO, ENTER/LEAKS,   "/>
    <s v="PC130LC-10M0"/>
    <s v="B20053"/>
    <x v="0"/>
    <m/>
    <m/>
    <m/>
    <n v="580"/>
    <s v="Sub.Submitted"/>
    <d v="2022-10-27T00:00:00"/>
    <d v="2022-11-01T00:00:00"/>
    <d v="2022-04-27T00:00:00"/>
    <d v="2022-06-08T00:00:00"/>
    <s v="6738-21-5610"/>
    <s v="VÁLVULA DRENO"/>
    <s v="ENGINE ASSY"/>
    <s v="ENTER/LEAKS"/>
    <s v="KDB (Plant) (51)"/>
    <s v="&lt;Guilherme Augusto Macedo&gt;"/>
    <s v="In Process"/>
    <d v="2022-11-08T00:00:00"/>
    <x v="5"/>
    <s v="KBI (9447)"/>
    <d v="2022-11-08T00:00:00"/>
    <m/>
    <s v="Luis Siqueira"/>
    <s v="213SPA"/>
    <n v="12"/>
    <s v="FY2022"/>
    <n v="2022"/>
  </r>
  <r>
    <s v="KBISP202211505"/>
    <s v="PC130LC-10M0, BUCKET(H/E BACKHOE), Caçamba, BROKEN,   "/>
    <s v="PC130LC-10M0"/>
    <s v="B20026"/>
    <x v="0"/>
    <m/>
    <m/>
    <m/>
    <n v="977"/>
    <s v="Closed"/>
    <d v="2022-11-03T00:00:00"/>
    <m/>
    <d v="2022-03-28T00:00:00"/>
    <d v="2022-05-02T00:00:00"/>
    <s v="203-70-B2010"/>
    <s v="Caçamba"/>
    <s v="BUCKET(H/E BACKHOE)"/>
    <s v="BROKEN"/>
    <s v="KDB (Plant) (51)"/>
    <m/>
    <s v="Completed"/>
    <d v="2022-11-11T00:00:00"/>
    <x v="5"/>
    <s v="KBI (9447)"/>
    <d v="2022-11-11T00:00:00"/>
    <s v="A PEÇA VEIO A FRATURAR POR REDUÇÃO NA ÁREA DE ESFORÇO, PROVENIENTE DA PROPAGAÇÃO DA TRINCA, MÁQUINA FALHOU APÓS 7 MESES DA ENTREGA TECNICA, EQUIPAMENTO COM BAIXO HORIMETRO E PRIMEIRA REVISÃO DE 500 HORAS FEITA COM O DISTRIBUIDOR BAUKO."/>
    <s v="Gabriel Augusto"/>
    <s v="213ESD"/>
    <n v="8"/>
    <s v="FY2022"/>
    <n v="2022"/>
  </r>
  <r>
    <s v="KBISC202211504"/>
    <s v="PC130LC-10M0, ACCESSORY &amp; PARTS, PARAFUSO, MALFUNCTION, PARAFUSO TRAVA DO PISTAO DO CILINDRO  "/>
    <s v="PC130LC-10M0"/>
    <s v="B20079"/>
    <x v="0"/>
    <m/>
    <s v="PARAFUSO TRAVA DO PISTAO DO CILINDRO"/>
    <m/>
    <n v="144"/>
    <s v="Sub.Received"/>
    <d v="2022-08-19T00:00:00"/>
    <d v="2022-08-23T00:00:00"/>
    <d v="2022-06-03T00:00:00"/>
    <d v="2022-07-05T00:00:00"/>
    <s v="01010-81435"/>
    <s v="PARAFUSO"/>
    <s v="ACCESSORY &amp; PARTS"/>
    <s v="MALFUNCTION"/>
    <s v="KDB (Plant) (51)"/>
    <s v="KBI - Construction Service"/>
    <s v="In Process"/>
    <d v="2022-11-17T00:00:00"/>
    <x v="0"/>
    <s v="KBI (9447)"/>
    <d v="2022-11-17T00:00:00"/>
    <m/>
    <s v="Jonatas Kammer"/>
    <s v="213SCB"/>
    <n v="90"/>
    <s v="FY2022"/>
    <n v="2022"/>
  </r>
  <r>
    <s v="KBISP202211514"/>
    <s v="PC130LC-10M0, RADIATOR GROUP, ADAPTADOR, ENTER/LEAKS,   "/>
    <s v="PC130LC-10M0"/>
    <s v="B20089"/>
    <x v="0"/>
    <m/>
    <m/>
    <m/>
    <n v="512"/>
    <s v="Plant.Confirmed"/>
    <d v="2022-11-18T00:00:00"/>
    <m/>
    <d v="2022-06-21T00:00:00"/>
    <m/>
    <s v="6208-51-5410"/>
    <s v="ADAPTADOR"/>
    <s v="RADIATOR GROUP"/>
    <s v="ENTER/LEAKS"/>
    <s v="KDB (Plant) (51)"/>
    <s v="KDB - Quality Assurance"/>
    <s v="In Process"/>
    <d v="2022-11-23T00:00:00"/>
    <x v="5"/>
    <s v="KBI (9447)"/>
    <d v="2022-11-23T00:00:00"/>
    <m/>
    <s v="Luis Siqueira"/>
    <s v="213SPA"/>
    <n v="5"/>
    <s v="FY2022"/>
    <n v="2022"/>
  </r>
  <r>
    <s v="KBISP202211515"/>
    <s v="PC130LC-10M0, BUCKET(H/E BACKHOE), BUCKET, BROKEN,   "/>
    <s v="PC130LC-10M0"/>
    <s v="B20024"/>
    <x v="0"/>
    <m/>
    <m/>
    <m/>
    <n v="1409"/>
    <s v="Sub.Received"/>
    <d v="2022-11-18T00:00:00"/>
    <d v="2022-11-18T00:00:00"/>
    <d v="2022-03-23T00:00:00"/>
    <d v="2022-04-11T00:00:00"/>
    <s v="203-79-B2010"/>
    <s v="BUCKET"/>
    <s v="BUCKET(H/E BACKHOE)"/>
    <s v="BROKEN"/>
    <s v="KDB (Plant) (51)"/>
    <s v="KBI - Construction Service"/>
    <s v="In Process"/>
    <d v="2022-11-24T00:00:00"/>
    <x v="5"/>
    <s v="KBI (9447)"/>
    <d v="2022-11-24T00:00:00"/>
    <s v="A PEÇA VEIO A FRATURAR POR REDUÇÃO NA ÁREA DE ESFORÇO, PROVENIENTE DA PROPAGAÇÃO DA TRINCA._x000a_ PARA REALIZAR O ENSAIO DE LIQUIDO PENETRANTE, FOI UTILIZADO OS APARAMETROS E PROCESSOS DA NORMA  NBR 16450._x000a__x000a_Cliente novo com Komatsu, primeiro equipamento adiquirido no mes de abril de 2022, cliente com revisoes periodicas na concessionaria."/>
    <s v="Caio Rodrigues"/>
    <s v="213ESD"/>
    <n v="6"/>
    <s v="FY2022"/>
    <n v="2022"/>
  </r>
  <r>
    <s v="KBISP202211516"/>
    <s v="PC130LC-10M0, OPERATOR CAB &amp; ROPS, PARTES LATERAIS CINZAS DO PARABRISA, DEFECTIVE APPEARANCE,   "/>
    <s v="PC130LC-10M0"/>
    <s v="B20095"/>
    <x v="0"/>
    <m/>
    <m/>
    <m/>
    <n v="404"/>
    <s v="Sub.Received"/>
    <d v="2022-11-22T00:00:00"/>
    <d v="2022-11-25T00:00:00"/>
    <d v="2022-06-22T00:00:00"/>
    <d v="2022-08-03T00:00:00"/>
    <s v="NA"/>
    <s v="PARTES LATERAIS CINZAS DO PARABRISA"/>
    <s v="OPERATOR CAB &amp; ROPS"/>
    <s v="DEFECTIVE APPEARANCE"/>
    <s v="KDB (Plant) (51)"/>
    <s v="KBI - Construction Service"/>
    <s v="In Process"/>
    <d v="2022-11-25T00:00:00"/>
    <x v="5"/>
    <s v="KBI (9447)"/>
    <d v="2022-11-25T00:00:00"/>
    <s v="Devemos fazer o reparo em garantia. Refazer a pintura."/>
    <s v="Rafaella Ribeiro"/>
    <s v="213SPC"/>
    <n v="3"/>
    <s v="FY2022"/>
    <n v="2022"/>
  </r>
  <r>
    <s v="KBISC202212501"/>
    <s v="PC130LC-10M0, HYDRAULIC CYLINDER, ORING, ENTER/LEAKS, VAZAMENTO DE OLEO NO TUBO DO CILINDRO  "/>
    <s v="PC130LC-10M0"/>
    <s v="B20154"/>
    <x v="5"/>
    <s v="Hose leak"/>
    <s v="VAZAMENTO DE OLEO NO TUBO DO CILINDRO"/>
    <m/>
    <n v="91"/>
    <s v="Sub.Received"/>
    <d v="2022-11-23T00:00:00"/>
    <d v="2022-11-23T00:00:00"/>
    <d v="2022-09-12T00:00:00"/>
    <d v="2022-10-03T00:00:00"/>
    <s v="02896-11018"/>
    <s v="ORING"/>
    <s v="HYDRAULIC CYLINDER"/>
    <s v="ENTER/LEAKS"/>
    <s v="KDB (Plant) (51)"/>
    <s v="KBI - Construction Service"/>
    <s v="In Process"/>
    <d v="2022-12-01T00:00:00"/>
    <x v="0"/>
    <s v="KBI (9447)"/>
    <d v="2022-12-01T00:00:00"/>
    <s v="EQUIPAMENTO NOVO COM APENAS 91 HS."/>
    <s v="Luciana Lumbieri"/>
    <s v="213RSB"/>
    <n v="8"/>
    <s v="FY2022"/>
    <n v="2022"/>
  </r>
  <r>
    <s v="KBISP202212500"/>
    <s v="PC130LC-10M0, FUEL TANK GROUP, FILTRO DE COMBUSTÍVEL, MALFUNCTION,   "/>
    <s v="PC130LC-10M0"/>
    <s v="B20050"/>
    <x v="0"/>
    <m/>
    <m/>
    <m/>
    <n v="594"/>
    <s v="Sub.Received"/>
    <d v="2022-11-09T00:00:00"/>
    <m/>
    <d v="2022-04-22T00:00:00"/>
    <d v="2022-06-15T00:00:00"/>
    <s v="600-311-3620"/>
    <s v="FILTRO DE COMBUSTÍVEL"/>
    <s v="FUEL TANK GROUP"/>
    <s v="MALFUNCTION"/>
    <s v="KDB (Plant) (51)"/>
    <s v="KBI - Construction Service"/>
    <s v="In Process"/>
    <d v="2022-12-01T00:00:00"/>
    <x v="5"/>
    <s v="KBI (9447)"/>
    <d v="2022-12-01T00:00:00"/>
    <m/>
    <s v="Luis Siqueira"/>
    <s v="213SPA"/>
    <n v="22"/>
    <s v="FY2022"/>
    <n v="2022"/>
  </r>
  <r>
    <s v="KBIMB202212501"/>
    <s v="PC130LC-10M0, OTHERS, INTERRUPTOR, MALFUNCTION, FALHA ACIONAMENTO BUZINA  "/>
    <s v="PC130LC-10M0"/>
    <s v="B20085"/>
    <x v="0"/>
    <m/>
    <s v="FALHA ACIONAMENTO BUZINA"/>
    <m/>
    <n v="1050"/>
    <s v="Sub.Received"/>
    <d v="2022-11-10T00:00:00"/>
    <m/>
    <d v="2022-06-13T00:00:00"/>
    <d v="2022-07-21T00:00:00"/>
    <s v="22U-43-21211"/>
    <s v="INTERRUPTOR"/>
    <s v="OTHERS"/>
    <s v="MALFUNCTION"/>
    <s v="KDB (Plant) (51)"/>
    <s v="KBI - Construction Service"/>
    <s v="In Process"/>
    <d v="2022-12-08T00:00:00"/>
    <x v="3"/>
    <s v="KBI (9447)"/>
    <d v="2022-12-08T00:00:00"/>
    <m/>
    <s v="Higor Alves"/>
    <s v="213MGC"/>
    <n v="28"/>
    <s v="FY2022"/>
    <n v="2022"/>
  </r>
  <r>
    <s v="KBISP202212503"/>
    <s v="PC130LC-10M0, RADIATOR GROUP, anticongelante, HIGH/LOW LEVEL,   "/>
    <s v="PC130LC-10M0"/>
    <s v="B20144"/>
    <x v="0"/>
    <m/>
    <m/>
    <m/>
    <n v="29"/>
    <s v="Plant.QA Approved"/>
    <d v="2022-11-29T00:00:00"/>
    <m/>
    <d v="2022-08-24T00:00:00"/>
    <m/>
    <s v="600-411-1113"/>
    <s v="anticongelante"/>
    <s v="RADIATOR GROUP"/>
    <s v="HIGH/LOW LEVEL"/>
    <s v="KDB (Plant) (51)"/>
    <s v="KDB - Quality Assurance"/>
    <s v="In Process"/>
    <d v="2022-12-08T00:00:00"/>
    <x v="5"/>
    <s v="KBI (9447)"/>
    <d v="2022-12-08T00:00:00"/>
    <m/>
    <s v="Luis Siqueira"/>
    <s v="213SPA"/>
    <n v="9"/>
    <s v="FY2022"/>
    <n v="2022"/>
  </r>
  <r>
    <s v="KBIMB202212503"/>
    <s v="PC130LC-10M0, AIR CONDITIONER, HINGE, WELDED, DEFECTIVE APPEARANCE, QUEBRA SUPORTE CONDENSADOR  "/>
    <s v="PC130LC-10M0"/>
    <s v="B20085"/>
    <x v="4"/>
    <s v="Condensor support crack"/>
    <s v="QUEBRA SUPORTE CONDENSADOR"/>
    <m/>
    <n v="1050"/>
    <s v="Sub.Received"/>
    <d v="2022-11-10T00:00:00"/>
    <m/>
    <d v="2022-06-13T00:00:00"/>
    <d v="2022-07-21T00:00:00"/>
    <s v="198-06-62820"/>
    <s v="HINGE, WELDED"/>
    <s v="AIR CONDITIONER"/>
    <s v="DEFECTIVE APPEARANCE"/>
    <s v="KDB (Plant) (51)"/>
    <s v="KBI - Construction Service"/>
    <s v="In Process"/>
    <d v="2022-12-09T00:00:00"/>
    <x v="3"/>
    <s v="KBI (9447)"/>
    <d v="2022-12-09T00:00:00"/>
    <s v="Foi efetuado o aperto correto dos parafusos do condensador, porem veio ocasionar a quebra dasolda de fixação da dobradiça"/>
    <s v="Higor Alves"/>
    <s v="213MGC"/>
    <n v="29"/>
    <s v="FY2022"/>
    <n v="2022"/>
  </r>
  <r>
    <s v="KBISC202212523"/>
    <s v="PC130LC-10M0, HYDRAULIC PIPING(1), 00000, MALFUNCTION, DESVIO NO DESLOCAMENTO PARA A DIREITA  "/>
    <s v="PC130LC-10M0"/>
    <s v="B20106"/>
    <x v="0"/>
    <m/>
    <s v="DESVIO NO DESLOCAMENTO PARA A DIREITA"/>
    <m/>
    <n v="63"/>
    <s v="Plant.QA Approved"/>
    <d v="2022-12-22T00:00:00"/>
    <m/>
    <d v="2022-06-30T00:00:00"/>
    <d v="2022-11-29T00:00:00"/>
    <s v="000000"/>
    <s v="00000"/>
    <s v="HYDRAULIC PIPING(1)"/>
    <s v="MALFUNCTION"/>
    <s v="KDB (Plant) (51)"/>
    <s v="KDB - Quality Assurance"/>
    <s v="In Process"/>
    <d v="2022-12-23T00:00:00"/>
    <x v="0"/>
    <s v="KBI (9447)"/>
    <d v="2022-12-23T00:00:00"/>
    <s v="EQUIPAMENTO NOVO."/>
    <s v="Luciana Lumbieri"/>
    <s v="213RSB"/>
    <n v="1"/>
    <s v="FY2022"/>
    <n v="2022"/>
  </r>
  <r>
    <s v="KBISC202212525"/>
    <s v="PC130LC-10M0, ACCESSORY &amp; PARTS, MANGUEIRAS, ENTER/LEAKS, MANGUEIRAS DO SISTEMA HIDR. FROUXAS  "/>
    <s v="PC130LC-10M0"/>
    <s v="B20156"/>
    <x v="5"/>
    <s v="Hose leak"/>
    <s v="MANGUEIRAS DO SISTEMA HIDR. FROUXAS"/>
    <m/>
    <n v="13"/>
    <s v="Sub.Received"/>
    <d v="2022-11-23T00:00:00"/>
    <d v="2022-11-25T00:00:00"/>
    <d v="2022-09-13T00:00:00"/>
    <d v="2022-11-17T00:00:00"/>
    <s v="DIVERSAS"/>
    <s v="MANGUEIRAS"/>
    <s v="ACCESSORY &amp; PARTS"/>
    <s v="ENTER/LEAKS"/>
    <s v="KDB (Plant) (51)"/>
    <s v="KBI - Construction Service"/>
    <s v="In Process"/>
    <d v="2022-12-26T00:00:00"/>
    <x v="0"/>
    <s v="KBI (9447)"/>
    <d v="2022-12-26T00:00:00"/>
    <s v="Episódio este acabou gerando um desgaste no relacionamento do cliente com o Distribuidor, pois o equipamento trabalhou apenas 13 hrs ou menos, levando em conta a data da entrega técnica em diante._x000a_Necessário haver por parte do fabricante um cuidado maior neste quesito. Uma falha como esta é simples, mas gera um transtorno pois o equipamento é novo, e nenhum cliente espera algo deste tipo aconteça, ainda mais se tratando de aperto de mangueiras."/>
    <s v="Jonatas Kammer"/>
    <s v="213SCB"/>
    <n v="33"/>
    <s v="FY2022"/>
    <n v="2022"/>
  </r>
  <r>
    <s v="KBISC202301500"/>
    <s v="PC130LC-10M0, ACCESSORY &amp; PARTS, SUPORTE, WRONG/MISSING PART, SUPORTE DE CIMA RADIADOR - FALTA  "/>
    <s v="PC130LC-10M0"/>
    <s v="B20056"/>
    <x v="0"/>
    <m/>
    <s v="SUPORTE DE CIMA RADIADOR - FALTA"/>
    <m/>
    <n v="231"/>
    <s v="Plant.QA Approved"/>
    <d v="2022-08-08T00:00:00"/>
    <d v="2022-12-07T00:00:00"/>
    <d v="2022-05-02T00:00:00"/>
    <d v="2022-06-01T00:00:00"/>
    <s v="204-03-72711"/>
    <s v="SUPORTE"/>
    <s v="ACCESSORY &amp; PARTS"/>
    <s v="WRONG/MISSING PART"/>
    <s v="KDB (Plant) (51)"/>
    <s v="KDB - Quality Assurance"/>
    <s v="In Process"/>
    <d v="2023-01-05T14:34:02"/>
    <x v="0"/>
    <s v="KBI (9447)"/>
    <d v="2023-01-05T00:00:00"/>
    <m/>
    <s v="Jonatas Kammer"/>
    <s v="213SCB"/>
    <n v="150"/>
    <s v="FY2022"/>
    <n v="2023"/>
  </r>
  <r>
    <s v="KBISC202301503"/>
    <s v="PC130LC-10M0, FUEL TANK GROUP, FILTRO SEPARADOR, INTERFERENCE, SUJEIRA NO SISTEMA DE COMBUSTIVEL  "/>
    <s v="PC130LC-10M0"/>
    <s v="B20163"/>
    <x v="0"/>
    <m/>
    <s v="SUJEIRA NO SISTEMA DE COMBUSTIVEL"/>
    <m/>
    <n v="3"/>
    <s v="Plant.QA Approved"/>
    <d v="2022-12-09T00:00:00"/>
    <d v="2022-12-09T00:00:00"/>
    <d v="2022-09-26T00:00:00"/>
    <m/>
    <s v="600-311-9921"/>
    <s v="FILTRO SEPARADOR"/>
    <s v="FUEL TANK GROUP"/>
    <s v="INTERFERENCE"/>
    <s v="KDB (Plant) (51)"/>
    <s v="KDB - Quality Assurance"/>
    <s v="In Process"/>
    <d v="2023-01-10T07:33:39"/>
    <x v="0"/>
    <s v="KBI (9447)"/>
    <d v="2023-01-10T00:00:00"/>
    <m/>
    <s v="Jonatas Kammer"/>
    <s v="213SCB"/>
    <n v="32"/>
    <s v="FY2022"/>
    <n v="2023"/>
  </r>
  <r>
    <s v="KBIPR202301506"/>
    <s v="PC130LC-10M0, OTHERS, lataria pintura, MALFUNCTION, AVARIAS NA LATARIA E PINTURA  "/>
    <s v="PC130LC-10M0"/>
    <s v="B20188"/>
    <x v="1"/>
    <s v="Painting"/>
    <s v="AVARIAS NA LATARIA E PINTURA"/>
    <m/>
    <n v="13"/>
    <s v="Plant.QA Approved"/>
    <d v="2023-01-04T00:00:00"/>
    <m/>
    <d v="2022-10-25T00:00:00"/>
    <m/>
    <s v="xxxxxxx"/>
    <s v="lataria pintura"/>
    <s v="OTHERS"/>
    <s v="MALFUNCTION"/>
    <s v="KDB (Plant) (51)"/>
    <s v="KDB - Quality Assurance"/>
    <s v="In Process"/>
    <d v="2023-01-11T17:42:52"/>
    <x v="1"/>
    <s v="KBI (9447)"/>
    <d v="2023-01-11T00:00:00"/>
    <s v="O Cliente encontra-se insatisfeito, por ser um equipamento novo,  primeira compra, com possibilidades de nova aquisição. E essas falhas de qualidade, fica fora do alcance da distribuidora. Visto que trata-se de falhas que deveriam ser validadas na fabrica antes de sair, para que não ocorra com frequencia gerando assim insatisfação do cliente."/>
    <s v="Neia Sene"/>
    <s v="213PRB"/>
    <n v="7"/>
    <s v="FY2022"/>
    <n v="2023"/>
  </r>
  <r>
    <s v="KBISC202301506"/>
    <s v="PC130LC-10M0, AIR CONDITIONER, Sistema ar condicionado., MALFUNCTION, EXCESSO GAS REFRIGERANTE NO SISTEMA  "/>
    <s v="PC130LC-10M0"/>
    <s v="B20178"/>
    <x v="4"/>
    <s v="Condensor support crack"/>
    <s v="EXCESSO GAS REFRIGERANTE NO SISTEMA"/>
    <m/>
    <n v="17"/>
    <s v="Plant.QA Approved"/>
    <d v="2022-12-14T00:00:00"/>
    <d v="2022-12-15T00:00:00"/>
    <d v="2022-10-14T00:00:00"/>
    <m/>
    <s v="Sistema ar condicionado"/>
    <s v="Sistema ar condicionado."/>
    <s v="AIR CONDITIONER"/>
    <s v="MALFUNCTION"/>
    <s v="KDB (Plant) (51)"/>
    <s v="KDB - Quality Assurance"/>
    <s v="In Process"/>
    <d v="2023-01-17T10:47:42"/>
    <x v="0"/>
    <s v="KBI (9447)"/>
    <d v="2023-01-17T00:00:00"/>
    <m/>
    <s v="Jonatas Kammer"/>
    <s v="213SCB"/>
    <n v="34"/>
    <s v="FY2022"/>
    <n v="2023"/>
  </r>
  <r>
    <s v="KBISP202301504"/>
    <s v="PC130LC-10M0, ENGINE ASSY, Muffler, MALFUNCTION,   "/>
    <s v="PC130LC-10M0"/>
    <s v="B20024"/>
    <x v="0"/>
    <m/>
    <m/>
    <m/>
    <n v="1606"/>
    <s v="Closed"/>
    <d v="2023-01-27T00:00:00"/>
    <d v="2023-01-27T00:00:00"/>
    <d v="2022-03-23T00:00:00"/>
    <d v="2022-04-11T00:00:00"/>
    <s v="6271-11-5230"/>
    <s v="Muffler"/>
    <s v="ENGINE ASSY"/>
    <s v="MALFUNCTION"/>
    <s v="KDB (Plant) (51)"/>
    <m/>
    <s v="Completed"/>
    <d v="2023-01-27T08:57:12"/>
    <x v="5"/>
    <s v="KBI (9447)"/>
    <d v="2023-01-27T00:00:00"/>
    <s v="Cliente com todas as revisões feitas em conssecionaria"/>
    <s v="Caio Rodrigues"/>
    <s v="213ESD"/>
    <n v="0"/>
    <s v="FY2022"/>
    <n v="2023"/>
  </r>
  <r>
    <s v="KBISC202301514"/>
    <s v="PC130LC-10M0, HYDRAULIC CYLINDER, ANEL O-RING, ENTER/LEAKS, VAZAMENTO OLEO EM MANGUEIRA DO CILINDRO  "/>
    <s v="PC130LC-10M0"/>
    <s v="B20156"/>
    <x v="5"/>
    <s v="Hose leak"/>
    <s v="VAZAMENTO OLEO EM MANGUEIRA DO CILINDRO"/>
    <m/>
    <n v="116"/>
    <s v="Closed"/>
    <d v="2023-01-05T00:00:00"/>
    <d v="2023-01-06T00:00:00"/>
    <d v="2022-09-13T00:00:00"/>
    <d v="2022-11-17T00:00:00"/>
    <s v="02896-11015"/>
    <s v="ANEL O-RING"/>
    <s v="HYDRAULIC CYLINDER"/>
    <s v="ENTER/LEAKS"/>
    <s v="KDB (Plant) (51)"/>
    <m/>
    <s v="Completed"/>
    <d v="2023-01-30T13:28:18"/>
    <x v="0"/>
    <s v="KBI (9447)"/>
    <d v="2023-02-02T00:00:00"/>
    <s v="Segundo atendimento neste equipamento para sanar uma falha de vazamento."/>
    <s v="Jonatas Kammer"/>
    <s v="213SCB"/>
    <n v="28"/>
    <s v="FY2022"/>
    <n v="2023"/>
  </r>
  <r>
    <s v="KBISC202302502"/>
    <s v="PC130LC-10M0, AIR CONDITIONER, BRACKET, BROKEN, QUEBRA DO SUPORTE DO CONDENSADOR  "/>
    <s v="PC130LC-10M0"/>
    <s v="B20154"/>
    <x v="4"/>
    <s v="Condensor support crack"/>
    <s v="QUEBRA DO SUPORTE DO CONDENSADOR"/>
    <s v="PC130LC-10M0, AIR CONDITIONER, BRACKET, BROKEN,   "/>
    <n v="219"/>
    <s v="Plant.QA Approved"/>
    <d v="2023-01-31T00:00:00"/>
    <m/>
    <d v="2022-09-12T00:00:00"/>
    <d v="2022-10-03T00:00:00"/>
    <s v="204-03-72111"/>
    <s v="BRACKET"/>
    <s v="AIR CONDITIONER"/>
    <s v="BROKEN"/>
    <s v="KDB (Plant) (51)"/>
    <s v="KDB - Quality Assurance"/>
    <s v="In Process"/>
    <d v="2023-02-03T17:30:03"/>
    <x v="0"/>
    <s v="KBI (9447)"/>
    <d v="2023-02-03T00:00:00"/>
    <s v="EQUIPAMENTO COM PMP."/>
    <s v="Luciana Lumbieri"/>
    <s v="213RSB"/>
    <n v="3"/>
    <s v="FY2022"/>
    <n v="2023"/>
  </r>
  <r>
    <s v="KBIMB202302500"/>
    <s v="PC130LC-10M0, ACCESSORY &amp; PARTS, FRAME, DEFECTIVE APPEARANCE, Falha na Pintura  "/>
    <s v="PC130LC-10M0"/>
    <s v="B20200"/>
    <x v="1"/>
    <s v="Painting"/>
    <s v="Falha na Pintura"/>
    <m/>
    <n v="3.9"/>
    <s v="Plant.QA Approved"/>
    <d v="2023-01-11T00:00:00"/>
    <m/>
    <d v="2022-10-31T00:00:00"/>
    <m/>
    <s v="204-910-B110"/>
    <s v="FRAME"/>
    <s v="ACCESSORY &amp; PARTS"/>
    <s v="DEFECTIVE APPEARANCE"/>
    <s v="KDB (Plant) (51)"/>
    <s v="KDB - Quality Assurance"/>
    <s v="In Process"/>
    <d v="2023-02-06T10:51:59"/>
    <x v="3"/>
    <s v="KBI (9447)"/>
    <d v="2023-02-06T00:00:00"/>
    <s v="Falha possivelmente na  confecção da peça e montagem do equipamento na fábrica."/>
    <s v="Higor Alves"/>
    <s v="213MGC"/>
    <n v="26"/>
    <s v="FY2022"/>
    <n v="2023"/>
  </r>
  <r>
    <s v="KBISP202302506"/>
    <s v="PC130LC-10M0, ENGINE ASSY, Muffler, MALFUNCTION,   "/>
    <s v="PC130LC-10M0"/>
    <s v="B20060"/>
    <x v="0"/>
    <m/>
    <m/>
    <m/>
    <n v="10556"/>
    <s v="Plant.QA Approved"/>
    <d v="2023-02-09T00:00:00"/>
    <m/>
    <d v="2022-05-20T00:00:00"/>
    <d v="2022-08-01T00:00:00"/>
    <s v="6271-11-5230"/>
    <s v="Muffler"/>
    <s v="ENGINE ASSY"/>
    <s v="MALFUNCTION"/>
    <s v="KDB (Plant) (51)"/>
    <s v="KDB - Quality Assurance"/>
    <s v="In Process"/>
    <d v="2023-02-10T08:17:14"/>
    <x v="5"/>
    <s v="KBI (9447)"/>
    <d v="2023-02-10T00:00:00"/>
    <s v="Cliente com todas as revisões feitas em conssecionaria."/>
    <s v="Caio Rodrigues"/>
    <s v="213ESD"/>
    <n v="1"/>
    <s v="FY2022"/>
    <n v="2023"/>
  </r>
  <r>
    <s v="KBISP202302511"/>
    <s v="PC130LC-10M0, ELECTRONIC CONTROLLER, INTERRUPTOR, DEFECTIVE ADJUSTMENT, FALHA NO ACIONADOR DA BUZINA  "/>
    <s v="PC130LC-10M0"/>
    <s v="B20112"/>
    <x v="0"/>
    <m/>
    <s v="FALHA NO ACIONADOR DA BUZINA"/>
    <m/>
    <n v="516"/>
    <s v="Closed"/>
    <d v="2023-02-13T00:00:00"/>
    <m/>
    <d v="2022-07-19T00:00:00"/>
    <m/>
    <s v="22U-43-21211"/>
    <s v="INTERRUPTOR"/>
    <s v="ELECTRONIC CONTROLLER"/>
    <s v="DEFECTIVE ADJUSTMENT"/>
    <s v="KDB (Plant) (51)"/>
    <m/>
    <s v="Completed"/>
    <d v="2023-02-16T14:06:16"/>
    <x v="5"/>
    <s v="KBI (9447)"/>
    <d v="2023-02-16T00:00:00"/>
    <m/>
    <s v="Calvin Lee"/>
    <s v="213SPB"/>
    <n v="3"/>
    <s v="FY2022"/>
    <n v="2023"/>
  </r>
  <r>
    <s v="KBIPR202303501"/>
    <s v="PC130LC-10M0, ACCESSORY &amp; PARTS, ANEL, DEFECTIVE ADJUSTMENT, VAZAMENTO MANGUEIRA  "/>
    <s v="PC130LC-10M0"/>
    <s v="B20047"/>
    <x v="5"/>
    <s v="Hose leak"/>
    <s v="VAZAMENTO MANGUEIRA"/>
    <m/>
    <n v="882"/>
    <s v="Closed"/>
    <d v="2023-03-01T00:00:00"/>
    <d v="2023-02-23T00:00:00"/>
    <d v="2022-04-18T00:00:00"/>
    <d v="2022-08-02T00:00:00"/>
    <s v="02896-61015"/>
    <s v="ANEL"/>
    <s v="ACCESSORY &amp; PARTS"/>
    <s v="DEFECTIVE ADJUSTMENT"/>
    <s v="KDB (Plant) (51)"/>
    <m/>
    <s v="Completed"/>
    <d v="2023-03-01T11:44:24"/>
    <x v="1"/>
    <s v="KBI (9447)"/>
    <d v="2023-03-01T00:00:00"/>
    <s v="Foi feito o teste STALL do equipamento que mostrou a falha, e inspeção visual. O cliente possui 03 (tres) equipamentos da Komatsu."/>
    <s v="Neia Sene"/>
    <s v="213PRB"/>
    <n v="0"/>
    <s v="FY2022"/>
    <n v="2023"/>
  </r>
  <r>
    <s v="KBISC202303501"/>
    <s v="PC130LC-10M0, KOMTRAX ASSY, ANTENA, MALFUNCTION, EQUIPAMENTO NAO COMUNICOU COM O KOMTRAX.  "/>
    <s v="PC130LC-10M0"/>
    <s v="B20114"/>
    <x v="6"/>
    <m/>
    <s v="EQUIPAMENTO NAO COMUNICOU COM O KOMTRAX."/>
    <m/>
    <n v="45"/>
    <s v="Closed"/>
    <d v="2022-12-16T00:00:00"/>
    <d v="2023-02-24T00:00:00"/>
    <d v="2022-07-26T00:00:00"/>
    <d v="2022-11-21T00:00:00"/>
    <s v="8A13-10-6100"/>
    <s v="ANTENA"/>
    <s v="KOMTRAX ASSY"/>
    <s v="MALFUNCTION"/>
    <s v="KDB (Plant) (51)"/>
    <m/>
    <s v="Completed"/>
    <d v="2023-03-06T12:46:44"/>
    <x v="0"/>
    <s v="KBI (9447)"/>
    <d v="2023-03-06T00:00:00"/>
    <s v="EQUIPAMENTO NOVO._x000a_MANUTENÇOES EM DIA E EFETUADAS PELO DB."/>
    <s v="Luciana Lumbieri"/>
    <s v="213RSB"/>
    <n v="80"/>
    <s v="FY2022"/>
    <n v="2023"/>
  </r>
  <r>
    <s v="KBISP202303501"/>
    <s v="PC130LC-10M0, ELECTRONIC CONTROLLER, Controller, MALFUNCTION,   "/>
    <s v="PC130LC-10M0"/>
    <s v="B20060"/>
    <x v="0"/>
    <m/>
    <m/>
    <m/>
    <n v="1148"/>
    <s v="Plant.QA Approved"/>
    <d v="2023-02-27T00:00:00"/>
    <d v="2023-02-27T00:00:00"/>
    <d v="2022-05-20T00:00:00"/>
    <d v="2022-08-01T00:00:00"/>
    <s v="7835-51-4001"/>
    <s v="Controller"/>
    <s v="ELECTRONIC CONTROLLER"/>
    <s v="MALFUNCTION"/>
    <s v="KDB (Plant) (51)"/>
    <s v="KDB - Quality Assurance"/>
    <s v="In Process"/>
    <d v="2023-03-06T16:38:28"/>
    <x v="5"/>
    <s v="KBI (9447)"/>
    <d v="2023-03-06T00:00:00"/>
    <m/>
    <s v="Gabriel Augusto"/>
    <s v="213ESD"/>
    <n v="7"/>
    <s v="FY2022"/>
    <n v="2023"/>
  </r>
  <r>
    <s v="KBISC202303503"/>
    <s v="PC130LC-10M0, ACCESSORY &amp; PARTS, 00000, DEFECTIVE ADJUSTMENT, INSPECAO DE RECEBIMENTO  "/>
    <s v="PC130LC-10M0"/>
    <s v="B20204"/>
    <x v="0"/>
    <m/>
    <s v="INSPECAO DE RECEBIMENTO"/>
    <m/>
    <n v="5"/>
    <s v="Sub.Submitted"/>
    <d v="2023-02-27T00:00:00"/>
    <m/>
    <d v="2022-11-11T00:00:00"/>
    <m/>
    <s v="000000"/>
    <s v="00000"/>
    <s v="ACCESSORY &amp; PARTS"/>
    <s v="DEFECTIVE ADJUSTMENT"/>
    <s v="KDB (Plant) (51)"/>
    <s v="&lt;Guilherme Augusto Macedo&gt;"/>
    <s v="In Process"/>
    <d v="2023-03-07T10:39:17"/>
    <x v="0"/>
    <s v="KBI (9447)"/>
    <d v="2023-03-07T00:00:00"/>
    <m/>
    <s v="Luciana Lumbieri"/>
    <s v="213RSB"/>
    <n v="8"/>
    <s v="FY2022"/>
    <n v="2023"/>
  </r>
  <r>
    <s v="KBISC202303511"/>
    <s v="PC130LC-10M0, AIR CONDITIONER, BRACKET, BROKEN, QUEBRA DO SUPORTE DO CONDENSADOR  "/>
    <s v="PC130LC-10M0"/>
    <s v="B20163"/>
    <x v="0"/>
    <m/>
    <s v="QUEBRA DO SUPORTE DO CONDENSADOR"/>
    <m/>
    <n v="326"/>
    <s v="Closed"/>
    <d v="2023-03-20T00:00:00"/>
    <m/>
    <d v="2022-09-26T00:00:00"/>
    <d v="2022-12-20T00:00:00"/>
    <s v="204-03-72111"/>
    <s v="BRACKET"/>
    <s v="AIR CONDITIONER"/>
    <s v="BROKEN"/>
    <s v="KDB (Plant) (51)"/>
    <m/>
    <s v="Completed"/>
    <d v="2023-03-23T11:17:53"/>
    <x v="0"/>
    <s v="KBI (9447)"/>
    <d v="2023-03-23T00:00:00"/>
    <s v="EQUIPAMENTO NOVO COM PMP."/>
    <s v="Luciana Lumbieri"/>
    <s v="213RSB"/>
    <n v="3"/>
    <s v="FY2022"/>
    <n v="2023"/>
  </r>
  <r>
    <s v="KBISC202303512"/>
    <s v="PC130LC-10M0, HYDRAULIC CYLINDER, PARAFUSO, BROKEN, QUEBRA DO PARAFUSO DA TRAVA DO CILINDRO  "/>
    <s v="PC130LC-10M0"/>
    <s v="B20135"/>
    <x v="0"/>
    <m/>
    <s v="QUEBRA DO PARAFUSO DA TRAVA DO CILINDRO"/>
    <m/>
    <n v="655"/>
    <s v="Closed"/>
    <d v="2023-03-17T00:00:00"/>
    <d v="2023-03-20T00:00:00"/>
    <d v="2022-08-15T00:00:00"/>
    <d v="2022-12-16T00:00:00"/>
    <s v="01010-81435"/>
    <s v="PARAFUSO"/>
    <s v="HYDRAULIC CYLINDER"/>
    <s v="BROKEN"/>
    <s v="KDB (Plant) (51)"/>
    <m/>
    <s v="Completed"/>
    <d v="2023-03-23T14:18:20"/>
    <x v="0"/>
    <s v="KBI (9447)"/>
    <d v="2023-03-23T00:00:00"/>
    <s v="EQUIPAMENTO NOVO COM APENAS 655 HS."/>
    <s v="Luciana Lumbieri"/>
    <s v="213RSB"/>
    <n v="6"/>
    <s v="FY2022"/>
    <n v="2023"/>
  </r>
  <r>
    <s v="KBISC202303515"/>
    <s v="PC130LC-10M0, FINAL DRIVE, ENGRENAGENS, BROKEN, QUEBRA ENGRENAGENS REDUTOR DESLOCAMENTO  "/>
    <s v="PC130LC-10M0"/>
    <s v="B20013"/>
    <x v="0"/>
    <m/>
    <s v="QUEBRA ENGRENAGENS REDUTOR DESLOCAMENTO"/>
    <m/>
    <n v="2179"/>
    <s v="Plant.QA Approved"/>
    <d v="2023-03-29T00:00:00"/>
    <m/>
    <d v="2022-03-21T00:00:00"/>
    <d v="2022-04-12T00:00:00"/>
    <s v="000000"/>
    <s v="ENGRENAGENS"/>
    <s v="FINAL DRIVE"/>
    <s v="BROKEN"/>
    <s v="KDB (Plant) (51)"/>
    <s v="KDB - Quality Assurance"/>
    <s v="In Process"/>
    <d v="2023-03-29T17:47:48"/>
    <x v="0"/>
    <s v="KBI (9447)"/>
    <d v="2023-03-29T00:00:00"/>
    <s v="EQUIPAMENTO COM TODAS AS MANUTENÇOES EM DIA EFETUADAS PELO DB."/>
    <s v="Luciana Lumbieri"/>
    <s v="213RSB"/>
    <n v="0"/>
    <s v="FY2022"/>
    <n v="2023"/>
  </r>
  <r>
    <s v="KBISP202304506"/>
    <s v="PC130LC-10M0, ELECTRONIC CONTROLLER, controller, DEFECTIVE ADJUSTMENT,   "/>
    <s v="PC130LC-10M0"/>
    <s v="B20222"/>
    <x v="0"/>
    <m/>
    <m/>
    <m/>
    <n v="4"/>
    <s v="Closed"/>
    <d v="2023-03-28T00:00:00"/>
    <m/>
    <d v="2022-11-29T00:00:00"/>
    <m/>
    <s v="7835-51-4001"/>
    <s v="controller"/>
    <s v="ELECTRONIC CONTROLLER"/>
    <s v="DEFECTIVE ADJUSTMENT"/>
    <s v="KDB (Plant) (51)"/>
    <m/>
    <s v="Completed"/>
    <d v="2023-04-09T13:24:18"/>
    <x v="5"/>
    <s v="KBI (9447)"/>
    <d v="2023-04-09T00:00:00"/>
    <m/>
    <s v="Gabriel Augusto"/>
    <s v="213ESD"/>
    <n v="12"/>
    <s v="FY2023"/>
    <n v="2023"/>
  </r>
  <r>
    <s v="KBISP202304507"/>
    <s v="PC130LC-10M0, ACCESSORY &amp; PARTS, CALÇO DA LANÇA, DEFECTIVE ADJUSTMENT, FOLGA NO CILINDRO DA LANÇA  "/>
    <s v="PC130LC-10M0"/>
    <s v="B20116"/>
    <x v="7"/>
    <s v="Bucket clearance"/>
    <s v="FOLGA NO CILINDRO DA LANÇA"/>
    <m/>
    <n v="850"/>
    <s v="Closed"/>
    <d v="2023-03-31T00:00:00"/>
    <m/>
    <d v="2022-07-20T00:00:00"/>
    <d v="2022-08-24T00:00:00"/>
    <s v="21Y-70-14830"/>
    <s v="CALÇO DA LANÇA"/>
    <s v="ACCESSORY &amp; PARTS"/>
    <s v="DEFECTIVE ADJUSTMENT"/>
    <s v="KDB (Plant) (51)"/>
    <m/>
    <s v="Completed"/>
    <d v="2023-04-10T13:22:56"/>
    <x v="5"/>
    <s v="KBI (9447)"/>
    <d v="2023-04-10T00:00:00"/>
    <m/>
    <s v="Calvin Lee"/>
    <s v="213SPB"/>
    <n v="10"/>
    <s v="FY2023"/>
    <n v="2023"/>
  </r>
  <r>
    <s v="KBISP202302504"/>
    <s v="PC130LC-10M0, ENGINE ASSY, Muffler, MALFUNCTION,   "/>
    <s v="PC130LC-10M0"/>
    <s v="B20032"/>
    <x v="0"/>
    <m/>
    <m/>
    <m/>
    <n v="1063"/>
    <s v="Closed"/>
    <d v="2023-02-08T00:00:00"/>
    <d v="2023-02-09T00:00:00"/>
    <d v="2022-03-30T00:00:00"/>
    <d v="2022-08-08T00:00:00"/>
    <s v="6271-11-5230"/>
    <s v="Muffler"/>
    <s v="ENGINE ASSY"/>
    <s v="MALFUNCTION"/>
    <s v="KDB (Plant) (51)"/>
    <m/>
    <s v="Completed"/>
    <d v="2023-02-09T08:50:18"/>
    <x v="5"/>
    <s v="KBI (9447)"/>
    <d v="2023-04-11T00:00:00"/>
    <s v="Cliente com todas as revisões feitas em conssecionaria"/>
    <s v="Caio Rodrigues"/>
    <s v="213ESD"/>
    <n v="62"/>
    <s v="FY2023"/>
    <n v="2023"/>
  </r>
  <r>
    <s v="KBIPE202304502"/>
    <s v="PC130LC-10M0, AIR CONDITIONER, FECHADURA DO SUPORTE DO CONDENSADOR, BROKEN,   "/>
    <s v="PC130LC-10M0"/>
    <s v="B20102"/>
    <x v="0"/>
    <m/>
    <m/>
    <m/>
    <n v="1640"/>
    <s v="Closed"/>
    <d v="2023-03-24T00:00:00"/>
    <m/>
    <d v="2022-06-28T00:00:00"/>
    <d v="2022-07-06T00:00:00"/>
    <s v="2A3-03-12850"/>
    <s v="FECHADURA DO SUPORTE DO CONDENSADOR"/>
    <s v="AIR CONDITIONER"/>
    <s v="BROKEN"/>
    <s v="KDB (Plant) (51)"/>
    <m/>
    <s v="Completed"/>
    <d v="2023-04-12T11:23:01"/>
    <x v="2"/>
    <s v="KBI (9447)"/>
    <d v="2023-04-12T00:00:00"/>
    <m/>
    <s v="Adaias Santos"/>
    <s v="213BAB"/>
    <n v="19"/>
    <s v="FY2023"/>
    <n v="2023"/>
  </r>
  <r>
    <s v="KBISP202304511"/>
    <s v="PC130LC-10M0, BATTERY, BATTERY, DEFECTIVE ADJUSTMENT, LIMPEZA DOS POLOS ELÉTRICOS  "/>
    <s v="PC130LC-10M0"/>
    <s v="B20054"/>
    <x v="8"/>
    <s v="Wiring harness"/>
    <s v="LIMPEZA DOS POLOS ELÉTRICOS"/>
    <m/>
    <n v="342"/>
    <s v="Closed"/>
    <d v="2023-04-18T00:00:00"/>
    <d v="2023-04-18T00:00:00"/>
    <d v="2022-04-28T00:00:00"/>
    <m/>
    <s v="21K-06-B7160"/>
    <s v="BATTERY"/>
    <s v="BATTERY"/>
    <s v="DEFECTIVE ADJUSTMENT"/>
    <s v="KDB (Plant) (51)"/>
    <m/>
    <s v="Completed"/>
    <d v="2023-04-18T17:00:29"/>
    <x v="5"/>
    <s v="KBI (9447)"/>
    <d v="2023-04-19T00:00:00"/>
    <m/>
    <s v="Calvin Lee"/>
    <s v="213SPB"/>
    <n v="1"/>
    <s v="FY2023"/>
    <n v="2023"/>
  </r>
  <r>
    <s v="KBIMN202304500"/>
    <s v="PC130LC-10M0, OTHERS, CONTROLLER, PUMP, MALFUNCTION,   "/>
    <s v="PC130LC-10M0"/>
    <s v="B20064"/>
    <x v="9"/>
    <s v="Pump controller"/>
    <m/>
    <m/>
    <n v="14019"/>
    <s v="Closed"/>
    <d v="2022-12-06T00:00:00"/>
    <m/>
    <d v="2022-05-20T00:00:00"/>
    <d v="2022-07-07T00:00:00"/>
    <s v="7835-51-4001"/>
    <s v="CONTROLLER, PUMP"/>
    <s v="OTHERS"/>
    <s v="MALFUNCTION"/>
    <s v="KDB (Plant) (51)"/>
    <m/>
    <s v="Completed"/>
    <d v="2023-04-24T17:32:13"/>
    <x v="7"/>
    <s v="KBI (9447)"/>
    <d v="2023-04-24T00:00:00"/>
    <m/>
    <s v="Ewelllin Borges"/>
    <s v="213PAE"/>
    <n v="139"/>
    <s v="FY2023"/>
    <n v="2023"/>
  </r>
  <r>
    <s v="KBIMN202304502"/>
    <s v="PC130LC-10M0, OTHERS, CONTROLLER, PUMP, MALFUNCTION, controlaroda da BOMBA  "/>
    <s v="PC130LC-10M0"/>
    <s v="B20096"/>
    <x v="9"/>
    <s v="Pump controller"/>
    <s v="controlaroda da BOMBA"/>
    <m/>
    <n v="452"/>
    <s v="Closed"/>
    <d v="2022-10-10T00:00:00"/>
    <m/>
    <d v="2022-06-22T00:00:00"/>
    <d v="2022-07-12T00:00:00"/>
    <s v="7835-51-4001"/>
    <s v="CONTROLLER, PUMP"/>
    <s v="OTHERS"/>
    <s v="MALFUNCTION"/>
    <s v="KDB (Plant) (51)"/>
    <m/>
    <s v="Completed"/>
    <d v="2023-04-24T17:51:21"/>
    <x v="7"/>
    <s v="KBI (9447)"/>
    <d v="2023-04-24T00:00:00"/>
    <m/>
    <s v="Ewelllin Borges"/>
    <s v="213PAE"/>
    <n v="196"/>
    <s v="FY2023"/>
    <n v="2023"/>
  </r>
  <r>
    <s v="KBISP202304521"/>
    <s v="PC130LC-10M0, BUCKET(H/E BACKHOE), BUCKET, BROKEN,   "/>
    <s v="PC130LC-10M0"/>
    <s v="B20023"/>
    <x v="7"/>
    <s v="Bucket crack"/>
    <m/>
    <m/>
    <n v="2106"/>
    <s v="Closed"/>
    <d v="2023-04-28T00:00:00"/>
    <m/>
    <d v="2022-03-23T00:00:00"/>
    <d v="2022-04-13T00:00:00"/>
    <s v="203-79-B2010"/>
    <s v="BUCKET"/>
    <s v="BUCKET(H/E BACKHOE)"/>
    <s v="BROKEN"/>
    <s v="KDB (Plant) (51)"/>
    <m/>
    <s v="Completed"/>
    <d v="2023-04-28T10:41:13"/>
    <x v="5"/>
    <s v="KBI (9447)"/>
    <d v="2023-04-28T00:00:00"/>
    <m/>
    <s v="Caio Rodrigues"/>
    <s v="213ESD"/>
    <n v="0"/>
    <s v="FY2023"/>
    <n v="2023"/>
  </r>
  <r>
    <s v="KBISC202305500"/>
    <s v="PC130LC-10M0, FUEL TANK GROUP, ORING, ENTER/LEAKS, VAZAMENTO DE DIESEL PELO SEPARADOR  "/>
    <s v="PC130LC-10M0"/>
    <s v="B20114"/>
    <x v="10"/>
    <s v="Diesel leak"/>
    <s v="VAZAMENTO DE DIESEL PELO SEPARADOR"/>
    <m/>
    <n v="478"/>
    <s v="Closed"/>
    <d v="2023-04-18T00:00:00"/>
    <d v="2023-04-18T00:00:00"/>
    <d v="2022-07-26T00:00:00"/>
    <d v="2022-11-21T00:00:00"/>
    <s v="600-311-9490"/>
    <s v="ORING"/>
    <s v="FUEL TANK GROUP"/>
    <s v="ENTER/LEAKS"/>
    <s v="KDB (Plant) (51)"/>
    <m/>
    <s v="Completed"/>
    <d v="2023-05-02T16:09:05"/>
    <x v="0"/>
    <s v="KBI (9447)"/>
    <d v="2023-05-02T00:00:00"/>
    <s v="EQUIPAMENTO COM AS MANUTENÇOES EM DIA EFETUADAS PELO DB."/>
    <s v="Luciana Lumbieri"/>
    <s v="213RSB"/>
    <n v="14"/>
    <s v="FY2023"/>
    <n v="2023"/>
  </r>
  <r>
    <s v="KBISP202305501"/>
    <s v="PC130LC-10M0, OTHERS, CONJUNTO ESTEIRA, DEFECTIVE APPEARANCE,   "/>
    <s v="PC130LC-10M0"/>
    <s v="B20092"/>
    <x v="11"/>
    <s v="Track abnormal noise"/>
    <m/>
    <m/>
    <n v="614"/>
    <s v="Plant.QA Approved"/>
    <d v="2023-04-25T00:00:00"/>
    <m/>
    <d v="2022-06-22T00:00:00"/>
    <d v="2022-09-13T00:00:00"/>
    <s v="203-32-02482"/>
    <s v="CONJUNTO ESTEIRA"/>
    <s v="OTHERS"/>
    <s v="DEFECTIVE APPEARANCE"/>
    <s v="KDB (Plant) (51)"/>
    <s v="KDB - Quality Assurance"/>
    <s v="Pending Request"/>
    <d v="2023-05-02T16:50:55"/>
    <x v="5"/>
    <s v="KBI (9447)"/>
    <d v="2023-05-02T00:00:00"/>
    <m/>
    <s v="Luis Siqueira"/>
    <s v="213SPA"/>
    <n v="7"/>
    <s v="FY2023"/>
    <n v="2023"/>
  </r>
  <r>
    <s v="KBISP202305510"/>
    <s v="PC130LC-10M0, ACCESSORY &amp; PARTS, ESPAÇADOR, DEFECTIVE APPEARANCE,   "/>
    <s v="PC130LC-10M0"/>
    <s v="B20225"/>
    <x v="7"/>
    <s v="Bucket clearance"/>
    <m/>
    <m/>
    <n v="5"/>
    <s v="Closed"/>
    <d v="2023-05-08T00:00:00"/>
    <m/>
    <d v="2022-12-05T00:00:00"/>
    <m/>
    <s v="21Y-70-14170"/>
    <s v="ESPAÇADOR"/>
    <s v="ACCESSORY &amp; PARTS"/>
    <s v="DEFECTIVE APPEARANCE"/>
    <s v="KDB (Plant) (51)"/>
    <m/>
    <s v="Completed"/>
    <d v="2023-05-26T15:15:30"/>
    <x v="5"/>
    <s v="KBI (9447)"/>
    <d v="2023-05-26T00:00:00"/>
    <m/>
    <s v="Luis Siqueira"/>
    <s v="213SPA"/>
    <n v="18"/>
    <s v="FY2023"/>
    <n v="2023"/>
  </r>
  <r>
    <s v="KBIMB202305502"/>
    <s v="PC130LC-10M0, HYDRAULIC TANK, CONJUNTO DE VALVULE, INTERFERENCE, CODIGO DE FALHA DKR2NX  "/>
    <s v="PC130LC-10M0"/>
    <s v="B20046"/>
    <x v="3"/>
    <m/>
    <s v="CODIGO DE FALHA DKR2NX"/>
    <m/>
    <n v="2343"/>
    <s v="Closed"/>
    <d v="2023-01-25T00:00:00"/>
    <m/>
    <d v="2022-04-20T00:00:00"/>
    <d v="2022-04-29T00:00:00"/>
    <s v="729-17-21000"/>
    <s v="CONJUNTO DE VALVULE"/>
    <s v="HYDRAULIC TANK"/>
    <s v="INTERFERENCE"/>
    <s v="KDB (Plant) (51)"/>
    <m/>
    <s v="Completed"/>
    <d v="2023-05-15T17:45:02"/>
    <x v="3"/>
    <s v="KBI (9447)"/>
    <d v="2023-05-30T00:00:00"/>
    <m/>
    <s v="Marcos Amaral"/>
    <s v="213I"/>
    <n v="125"/>
    <s v="FY2023"/>
    <n v="2023"/>
  </r>
  <r>
    <s v="KBIMB202306500"/>
    <s v="PC130LC-10M0, ARM, O-RING, MALFUNCTION, VAZAMENTO HIDRAULICO  "/>
    <s v="PC130LC-10M0"/>
    <s v="B20085"/>
    <x v="8"/>
    <s v="Sensor"/>
    <s v="VAZAMENTO HIDRAULICO"/>
    <m/>
    <n v="2070"/>
    <s v="Closed"/>
    <d v="2023-05-26T00:00:00"/>
    <d v="2023-05-26T00:00:00"/>
    <d v="2022-06-13T00:00:00"/>
    <d v="2022-07-21T00:00:00"/>
    <s v="02896-11018"/>
    <s v="O-RING"/>
    <s v="ARM"/>
    <s v="MALFUNCTION"/>
    <s v="KDB (Plant) (51)"/>
    <m/>
    <s v="Completed"/>
    <d v="2023-06-01T15:27:48"/>
    <x v="3"/>
    <s v="KBI (9447)"/>
    <d v="2023-06-01T00:00:00"/>
    <s v="Equipamento testado e liberado para operação"/>
    <s v="Marcos Amaral"/>
    <s v="213I"/>
    <n v="6"/>
    <s v="FY2023"/>
    <n v="2023"/>
  </r>
  <r>
    <s v="KBIPR202306501"/>
    <s v="PC130LC-10M0, ACCESSORY &amp; PARTS, VIDRO, DEFECTIVE ADJUSTMENT, VIDRO LATERAL DA CABINE DESCOLANDO  "/>
    <s v="PC130LC-10M0"/>
    <s v="B20152"/>
    <x v="12"/>
    <s v="Glass"/>
    <s v="VIDRO LATERAL DA CABINE DESCOLANDO"/>
    <m/>
    <n v="97"/>
    <s v="Closed"/>
    <d v="2023-05-25T00:00:00"/>
    <m/>
    <d v="2022-08-31T00:00:00"/>
    <d v="2022-12-12T00:00:00"/>
    <s v="20Y-53-11841"/>
    <s v="VIDRO"/>
    <s v="ACCESSORY &amp; PARTS"/>
    <s v="DEFECTIVE ADJUSTMENT"/>
    <s v="KDB (Plant) (51)"/>
    <m/>
    <s v="Completed"/>
    <d v="2023-06-01T15:06:07"/>
    <x v="1"/>
    <s v="KBI (9447)"/>
    <d v="2023-06-01T00:00:00"/>
    <s v="O RECOMENDAÇÃO QUE PASSAMOS PARA O CLIENTE, QUE IRIAMOS PROVIDECIAR A SOLUÇÃO DO PROBLEMA O MAIS BREVE POSSIVEL, ANTES QUE O VIDRO VENHA A SE SOLTAR POR INTEIRO. O CLIENTE DEMOSTROU BASTANTE INSATISFEITO DEVIDO O EQUIPAMENTO TER POUCAS HORAS DE USO, E JA APRESENTAR O PROBLEMA. ALEGA ESTAR COM SERVIÇOS A SEREM EXECUTADOS, E NÃO PODE  POR INSEGURANÇA DO VIDRO SE SOLTAR DE VEZ. O CLIENTE ADQUIRIU A PRIMEIRA MAQUINA E COM PERPECTIVAS E ADQUIRIR OUTRA. POSSUI CONTRATO DE MMK 1000 HRS. JA SOLICITAMOS UMA EMPRESA ESPECIALIZADA EM VIDROS, PARA REALIZAR A REMOÇÃO DO  VIDRO  E  REALIZAR NOVA ADIÇÃO DE COLA PARA FIXAR O VIDRO LATERAL, PARA ELIMINAR ENTRADA  DE POEIRA E AGUA EVITANDO ASSIM UM PROBLEMA MAIOR."/>
    <s v="Neia Sene"/>
    <s v="213PRB"/>
    <n v="7"/>
    <s v="FY2023"/>
    <n v="2023"/>
  </r>
  <r>
    <s v="KBISP202306506"/>
    <s v="PC130LC-10M0, AIR CONDITIONER, SUPORTE, BROKEN, QUEBRA DO SUPORTE DO CONDENSADOR  "/>
    <s v="PC130LC-10M0"/>
    <s v="B20158"/>
    <x v="4"/>
    <s v="Condensor support crack"/>
    <s v="QUEBRA DO SUPORTE DO CONDENSADOR"/>
    <m/>
    <n v="383"/>
    <s v="Closed"/>
    <d v="2023-06-14T00:00:00"/>
    <m/>
    <d v="2022-09-15T00:00:00"/>
    <d v="2023-04-13T00:00:00"/>
    <s v="204-03-72111"/>
    <s v="SUPORTE"/>
    <s v="AIR CONDITIONER"/>
    <s v="BROKEN"/>
    <s v="KDB (Plant) (51)"/>
    <m/>
    <s v="Completed"/>
    <d v="2023-06-15T09:04:01"/>
    <x v="5"/>
    <s v="KBI (9447)"/>
    <d v="2023-06-15T00:00:00"/>
    <m/>
    <s v="Calvin Lee"/>
    <s v="213SPB"/>
    <n v="1"/>
    <s v="FY2023"/>
    <n v="2023"/>
  </r>
  <r>
    <s v="KBIPE202306501"/>
    <s v="PC130LC-10M0, REVOLVING FRAME,COUNTER WEIGHT, CHASSI DA MAQUINA, DEFECTIVE ADJUSTMENT,   "/>
    <s v="PC130LC-10M0"/>
    <s v="B20251"/>
    <x v="1"/>
    <s v="Painting"/>
    <m/>
    <m/>
    <n v="3.3"/>
    <s v="Plant.QA Approved"/>
    <d v="2023-06-16T00:00:00"/>
    <m/>
    <d v="2023-02-28T00:00:00"/>
    <m/>
    <s v="204-46-B1110"/>
    <s v="CHASSI DA MAQUINA"/>
    <s v="REVOLVING FRAME,COUNTER WEIGHT"/>
    <s v="DEFECTIVE ADJUSTMENT"/>
    <s v="KDB (Plant) (51)"/>
    <s v="KDB - Quality Assurance"/>
    <s v="In Process"/>
    <d v="2023-06-16T14:44:28"/>
    <x v="2"/>
    <s v="KBI (9447)"/>
    <d v="2023-06-16T00:00:00"/>
    <m/>
    <s v="Adaias Santos"/>
    <s v="213BAB"/>
    <n v="0"/>
    <s v="FY2023"/>
    <n v="2023"/>
  </r>
  <r>
    <s v="KBIPE202306502"/>
    <s v="PC130LC-10M0, REVOLVING FRAME,COUNTER WEIGHT, CHASSI DA MAQUINA, DEFECTIVE ADJUSTMENT,   "/>
    <s v="PC130LC-10M0"/>
    <s v="B20231"/>
    <x v="1"/>
    <s v="Painting"/>
    <m/>
    <m/>
    <n v="6.1"/>
    <s v="Closed"/>
    <d v="2023-06-16T00:00:00"/>
    <m/>
    <d v="2023-01-31T00:00:00"/>
    <m/>
    <s v="204-46-B1110"/>
    <s v="CHASSI DA MAQUINA"/>
    <s v="REVOLVING FRAME,COUNTER WEIGHT"/>
    <s v="DEFECTIVE ADJUSTMENT"/>
    <s v="KDB (Plant) (51)"/>
    <m/>
    <s v="Completed"/>
    <d v="2023-06-16T14:44:35"/>
    <x v="2"/>
    <s v="KBI (9447)"/>
    <d v="2023-06-16T00:00:00"/>
    <m/>
    <s v="Adaias Santos"/>
    <s v="213BAB"/>
    <n v="0"/>
    <s v="FY2023"/>
    <n v="2023"/>
  </r>
  <r>
    <s v="KBIPE202306504"/>
    <s v="PC130LC-10M0, WIRING HARNESS, Chicote Elétrico, INTERFERENCE,   "/>
    <s v="PC130LC-10M0"/>
    <s v="B20236"/>
    <x v="8"/>
    <s v="Wiring harness"/>
    <m/>
    <m/>
    <n v="20"/>
    <s v="Plant.QA Approved"/>
    <d v="2023-06-04T00:00:00"/>
    <m/>
    <d v="2023-02-03T00:00:00"/>
    <d v="2023-05-25T00:00:00"/>
    <s v="204-06-72230"/>
    <s v="Chicote Elétrico"/>
    <s v="WIRING HARNESS"/>
    <s v="INTERFERENCE"/>
    <s v="KDB (Plant) (51)"/>
    <s v="KDB - Quality Assurance"/>
    <s v="In Process"/>
    <d v="2023-06-20T11:58:29"/>
    <x v="2"/>
    <s v="KBI (9447)"/>
    <d v="2023-06-20T00:00:00"/>
    <m/>
    <s v="Adaias Santos"/>
    <s v="213BAB"/>
    <n v="16"/>
    <s v="FY2023"/>
    <n v="2023"/>
  </r>
  <r>
    <s v="KBIMB202306528"/>
    <s v="PC130LC-10M0, FUEL TANK, Fuel prefilter, WRONG/MISSING PART, Filtro divergente ao catálogo  "/>
    <s v="PC130LC-10M0"/>
    <s v="B20048"/>
    <x v="3"/>
    <s v="Different filter"/>
    <s v="Filtro divergente ao catálogo"/>
    <s v="PC130LC-10M0, FUEL TANK, Fuel prefilter, WRONG/MISSING PART,   "/>
    <n v="734"/>
    <s v="Plant.QA Approved"/>
    <d v="2023-06-05T00:00:00"/>
    <d v="2023-06-06T00:00:00"/>
    <d v="2022-04-25T00:00:00"/>
    <d v="2022-05-13T00:00:00"/>
    <s v="6271-71-7400"/>
    <s v="Fuel prefilter"/>
    <s v="FUEL TANK"/>
    <s v="WRONG/MISSING PART"/>
    <s v="KDB (Plant) (51)"/>
    <s v="KDB - Quality Assurance"/>
    <s v="In Process"/>
    <d v="2023-06-27T15:06:00"/>
    <x v="3"/>
    <s v="KBI (9447)"/>
    <d v="2023-06-27T00:00:00"/>
    <s v="Reclamação enviada pela Mason UDI: _x000a_&quot;A PC130LC-10M0 utiliza o pré-filtro 600-319-4110, parte do conjunto 600-319-4100, parte do conjunto do filtro 6271-71-7400 (motor D95E)._x000a_A Mason Uberlândia/MG informa que o equipamento PC130LC-10M0 B20049, por algum motivo não monta o filtro correto, apenas dando montagem o filtro 600-319-3610._x000a_Esse filtro 600-319-3610 é parte do conjunto do filtro 6754-71-7403 utilizado no D61EX-23M0 (motor D107E)._x000a_Ou seja, toda vez que o cliente pede o filtro correto conforme o catálogo (600-319-4110), não dá montagem, e o DB precisa atender com o 600-319-3610 para não parar a máquina.&quot;"/>
    <s v="Aiany Amorim"/>
    <s v="213I"/>
    <n v="22"/>
    <s v="FY2023"/>
    <n v="2023"/>
  </r>
  <r>
    <s v="KBISP202307501"/>
    <s v="PC130LC-10M0, ENGINE ASSY, MUFLER, MALFUNCTION, MIOLO DO ESCAPAMENTO COM FOLGA INTERNA  "/>
    <s v="PC130LC-10M0"/>
    <s v="B20222"/>
    <x v="13"/>
    <s v="Abnormal noise on muffler (before countermeasure)"/>
    <s v="MIOLO DO ESCAPAMENTO COM FOLGA INTERNA"/>
    <m/>
    <n v="284"/>
    <s v="Closed"/>
    <d v="2023-07-03T00:00:00"/>
    <d v="2023-07-03T00:00:00"/>
    <d v="2022-11-29T00:00:00"/>
    <d v="2023-05-16T00:00:00"/>
    <s v="6271-11-5230"/>
    <s v="MUFLER"/>
    <s v="ENGINE ASSY"/>
    <s v="MALFUNCTION"/>
    <s v="KDB (Plant) (51)"/>
    <m/>
    <s v="Completed"/>
    <d v="2023-07-03T15:04:33"/>
    <x v="5"/>
    <s v="KBI (9447)"/>
    <d v="2023-07-04T00:00:00"/>
    <m/>
    <s v="Caio Rodrigues"/>
    <s v="213ESD"/>
    <n v="1"/>
    <s v="FY2023"/>
    <n v="2023"/>
  </r>
  <r>
    <s v="KBISP202307502"/>
    <s v="PC130LC-10M0, ENGINE ASSY, MUFFLER, MALFUNCTION, MIOLO DO ESCAPAMENTO COM FOLGA INTERNA  "/>
    <s v="PC130LC-10M0"/>
    <s v="B20142"/>
    <x v="13"/>
    <s v="Abnormal noise on muffler (before countermeasure)"/>
    <s v="MIOLO DO ESCAPAMENTO COM FOLGA INTERNA"/>
    <m/>
    <n v="1711"/>
    <s v="Closed"/>
    <d v="2023-06-20T00:00:00"/>
    <d v="2023-06-20T00:00:00"/>
    <d v="2022-08-23T00:00:00"/>
    <d v="2022-10-05T00:00:00"/>
    <s v="6271-11-5230"/>
    <s v="MUFFLER"/>
    <s v="ENGINE ASSY"/>
    <s v="MALFUNCTION"/>
    <s v="KDB (Plant) (51)"/>
    <m/>
    <s v="Completed"/>
    <d v="2023-07-04T07:49:21"/>
    <x v="5"/>
    <s v="KBI (9447)"/>
    <d v="2023-07-04T00:00:00"/>
    <s v="Cliente com todas as revisões feitas em conssecionaria,"/>
    <s v="Caio Rodrigues"/>
    <s v="213ESD"/>
    <n v="14"/>
    <s v="FY2023"/>
    <n v="2023"/>
  </r>
  <r>
    <s v="KBIMB202307509"/>
    <s v="PC130LC-10M0, OTHERS, CABEÇOTE DO FILTRO, DEFECTIVE ADJUSTMENT, CABEÇOTE FILTRO INCORRETO  "/>
    <s v="PC130LC-10M0"/>
    <s v="B20049"/>
    <x v="3"/>
    <s v="Filter cover"/>
    <s v="CABEÇOTE FILTRO INCORRETO"/>
    <s v="PC130LC-10M0, FUEL TANK, Fuel prefilter, WRONG/MISSING PART,   "/>
    <n v="262"/>
    <s v="Closed"/>
    <d v="2022-08-23T00:00:00"/>
    <m/>
    <d v="2022-04-22T00:00:00"/>
    <d v="2022-07-12T00:00:00"/>
    <s v="6754-71-7201"/>
    <s v="CABEÇOTE DO FILTRO"/>
    <s v="OTHERS"/>
    <s v="DEFECTIVE ADJUSTMENT"/>
    <s v="KDB (Plant) (51)"/>
    <m/>
    <s v="Completed"/>
    <d v="2023-07-06T17:25:36"/>
    <x v="3"/>
    <s v="KBI (9447)"/>
    <d v="2023-07-06T00:00:00"/>
    <m/>
    <s v="Higor Alves"/>
    <s v="213MGC"/>
    <n v="317"/>
    <s v="FY2023"/>
    <n v="2023"/>
  </r>
  <r>
    <s v="KBISP202307505"/>
    <s v="PC130LC-10M0, BUCKET(H/E BACKHOE), BUCKET, BROKEN, TRINCAS NA CAÇAMBA - SOLDA  "/>
    <s v="PC130LC-10M0"/>
    <s v="B20032"/>
    <x v="7"/>
    <s v="Bucket crack"/>
    <s v="TRINCAS NA CAÇAMBA - SOLDA"/>
    <m/>
    <n v="1717"/>
    <s v="Plant.QA Approved"/>
    <d v="2023-07-06T00:00:00"/>
    <m/>
    <d v="2022-03-30T00:00:00"/>
    <d v="2022-08-08T00:00:00"/>
    <s v="203-79-B2010"/>
    <s v="BUCKET"/>
    <s v="BUCKET(H/E BACKHOE)"/>
    <s v="BROKEN"/>
    <s v="KDB (Plant) (51)"/>
    <s v="KDB - Quality Assurance"/>
    <s v="In Process"/>
    <d v="2023-07-06T09:14:01"/>
    <x v="5"/>
    <s v="KBI (9447)"/>
    <d v="2023-07-06T00:00:00"/>
    <s v="A PEÇA VEIO A FRATURAR POR REDUÇÃO NA ÁREA DE ESFORÇO, PROVENIENTE DA PROPAGAÇÃO DA TRINCA"/>
    <s v="Caio Rodrigues"/>
    <s v="213ESD"/>
    <n v="0"/>
    <s v="FY2023"/>
    <n v="2023"/>
  </r>
  <r>
    <s v="KBISP202307506"/>
    <s v="PC130LC-10M0, WIRING HARNESS, CHICOTE, BROKEN, FALHA NO CHICOTE DO MOTOR  "/>
    <s v="PC130LC-10M0"/>
    <s v="B20116"/>
    <x v="8"/>
    <s v="Engine wiring"/>
    <s v="FALHA NO CHICOTE DO MOTOR"/>
    <m/>
    <n v="1341"/>
    <s v="Closed"/>
    <d v="2023-07-05T00:00:00"/>
    <m/>
    <d v="2022-07-20T00:00:00"/>
    <d v="2022-08-24T00:00:00"/>
    <s v="6271-81-8240"/>
    <s v="CHICOTE"/>
    <s v="WIRING HARNESS"/>
    <s v="BROKEN"/>
    <s v="KDB (Plant) (51)"/>
    <m/>
    <s v="Completed"/>
    <d v="2023-07-06T16:16:42"/>
    <x v="5"/>
    <s v="KBI (9447)"/>
    <d v="2023-07-06T00:00:00"/>
    <m/>
    <s v="Calvin Lee"/>
    <s v="213SPB"/>
    <n v="1"/>
    <s v="FY2023"/>
    <n v="2023"/>
  </r>
  <r>
    <s v="KBISP202307521"/>
    <s v="PC130LC-10M0, ENGINE ASSY, Silencioso, MALFUNCTION, Barulho anormal vindo do silencioso  "/>
    <s v="PC130LC-10M0"/>
    <s v="B20180"/>
    <x v="13"/>
    <s v="Abnormal noise on muffler (before countermeasure)"/>
    <s v="Barulho anormal vindo do silencioso"/>
    <m/>
    <n v="226.5"/>
    <s v="Sub.Submitted"/>
    <d v="2023-07-13T00:00:00"/>
    <m/>
    <d v="2022-10-14T00:00:00"/>
    <m/>
    <s v="6271-11-5230"/>
    <s v="Silencioso"/>
    <s v="ENGINE ASSY"/>
    <s v="MALFUNCTION"/>
    <s v="KDB (Plant) (51)"/>
    <s v="Pending Requests"/>
    <s v="Pending Request"/>
    <d v="2023-07-24T11:04:57"/>
    <x v="5"/>
    <s v="KBI (9447)"/>
    <d v="2023-07-24T00:00:00"/>
    <m/>
    <s v="Gabriel Bonifacio"/>
    <s v="213SPB"/>
    <n v="11"/>
    <s v="FY2023"/>
    <n v="2023"/>
  </r>
  <r>
    <s v="KBISP202307522"/>
    <s v="PC130LC-10M0, ARM, ESPAÇADOR, DEFECTIVE APPEARANCE, ESPAÇADORES DO BRAÇO-CAÇAMBA  "/>
    <s v="PC130LC-10M0"/>
    <s v="B20259"/>
    <x v="7"/>
    <s v="Bucket link visual complain"/>
    <s v="ESPAÇADORES DO BRAÇO-CAÇAMBA"/>
    <m/>
    <n v="13"/>
    <s v="Closed"/>
    <d v="2023-07-18T00:00:00"/>
    <m/>
    <d v="2023-05-26T00:00:00"/>
    <d v="2023-07-18T00:00:00"/>
    <s v="21Y-70-14770"/>
    <s v="ESPAÇADOR"/>
    <s v="ARM"/>
    <s v="DEFECTIVE APPEARANCE"/>
    <s v="KDB (Plant) (51)"/>
    <m/>
    <s v="Completed"/>
    <d v="2023-07-26T12:07:09"/>
    <x v="5"/>
    <s v="KBI (9447)"/>
    <d v="2023-07-26T00:00:00"/>
    <m/>
    <s v="Luis Siqueira"/>
    <s v="213SPA"/>
    <n v="8"/>
    <s v="FY2023"/>
    <n v="2023"/>
  </r>
  <r>
    <s v="KBISP202307525"/>
    <s v="PC130LC-10M0, BUCKET(H/E BACKHOE), PINO, BROKEN, DESGASTE PREMATURO PINO BRAÇO CAÇAMBA  "/>
    <s v="PC130LC-10M0"/>
    <s v="B20109"/>
    <x v="14"/>
    <s v="Pin wear"/>
    <s v="DESGASTE PREMATURO PINO BRAÇO CAÇAMBA"/>
    <m/>
    <n v="1560"/>
    <s v="Closed"/>
    <d v="2023-07-26T00:00:00"/>
    <m/>
    <d v="2022-07-18T00:00:00"/>
    <d v="2022-10-27T00:00:00"/>
    <s v="203-70-44380"/>
    <s v="PINO"/>
    <s v="BUCKET(H/E BACKHOE)"/>
    <s v="BROKEN"/>
    <s v="KDB (Plant) (51)"/>
    <m/>
    <s v="Completed"/>
    <d v="2023-07-27T08:56:24"/>
    <x v="5"/>
    <s v="KBI (9447)"/>
    <d v="2023-07-27T00:00:00"/>
    <s v="Cliente com todas as revisões feitas em conssecionaria, graxa na especificação correta com aditivo de alta pressão."/>
    <s v="Caio Rodrigues"/>
    <s v="213ESD"/>
    <n v="1"/>
    <s v="FY2023"/>
    <n v="2023"/>
  </r>
  <r>
    <s v="KBIPR202307521"/>
    <s v="PC130LC-10M0, ACCESSORY &amp; PARTS, PINO, DEFECTIVE ADJUSTMENT, FOLGA PINO E BUCHA DA LANÇA  "/>
    <s v="PC130LC-10M0"/>
    <s v="B20056"/>
    <x v="14"/>
    <s v="Bucket link visual complain"/>
    <s v="FOLGA PINO E BUCHA DA LANÇA"/>
    <m/>
    <n v="1579"/>
    <s v="Closed"/>
    <d v="2023-07-07T00:00:00"/>
    <d v="2023-07-19T00:00:00"/>
    <d v="2022-05-02T00:00:00"/>
    <d v="2022-06-01T00:00:00"/>
    <s v="202-70-61160E"/>
    <s v="PINO"/>
    <s v="ACCESSORY &amp; PARTS"/>
    <s v="DEFECTIVE ADJUSTMENT"/>
    <s v="KDB (Plant) (51)"/>
    <m/>
    <s v="Completed"/>
    <d v="2023-07-28T10:00:38"/>
    <x v="1"/>
    <s v="KBI (9447)"/>
    <d v="2023-07-28T00:00:00"/>
    <s v="O cliente com plano de manutenção MMK de até 2000 hrs ativo e possui frota com 03 equipamentos da Komatsu PC130LC._x000a_Orientamos ao cliente,   a  importância de continuar utilizando a graxa conforme recomendação do fabricante e também da utilização de peças originais para conservação do equipamento."/>
    <s v="Neia Sene"/>
    <s v="213PRB"/>
    <n v="21"/>
    <s v="FY2023"/>
    <n v="2023"/>
  </r>
  <r>
    <s v="KBIPR202307522"/>
    <s v="PC130LC-10M0, ACCESSORY &amp; PARTS, ANEL DE VEDAÇÃO O RING, ENTER/LEAKS, VAZAMENTO DE OLEO NO MOTOR/TROCADOR DE C  "/>
    <s v="PC130LC-10M0"/>
    <s v="B20099"/>
    <x v="15"/>
    <s v="Engine heatcooler"/>
    <s v="VAZAMENTO DE OLEO NO MOTOR/TROCADOR DE C"/>
    <m/>
    <n v="241.6"/>
    <s v="Closed"/>
    <d v="2023-06-28T00:00:00"/>
    <d v="2023-07-21T00:00:00"/>
    <d v="2022-06-27T00:00:00"/>
    <d v="2022-07-22T00:00:00"/>
    <s v="07000-72070"/>
    <s v="ANEL DE VEDAÇÃO O RING"/>
    <s v="ACCESSORY &amp; PARTS"/>
    <s v="ENTER/LEAKS"/>
    <s v="KDB (Plant) (51)"/>
    <m/>
    <s v="Completed"/>
    <d v="2023-07-28T15:41:17"/>
    <x v="1"/>
    <s v="KBI (9447)"/>
    <d v="2023-07-28T00:00:00"/>
    <s v="Após sanar a falha do vazamento, o técnico ficou observando o equipamento trabalhar por um período e não ocorreu mais o vazamento. Não foi coletado óleo para analise, e orientamos o Cliente a ficar observando o vazamento e qualquer evidencias de vazamento entrar em contato. É um cliente com uma frota de 03 equipamentos da Komatsu."/>
    <s v="Neia Sene"/>
    <s v="213PRB"/>
    <n v="30"/>
    <s v="FY2023"/>
    <n v="2023"/>
  </r>
  <r>
    <s v="KBIPR202308506"/>
    <s v="PC130LC-10M0, ACCESSORY &amp; PARTS, PINO, ENTER/LEAKS, PINO E LANÇA NÃO ESTA LUBRIFICANDO  "/>
    <s v="PC130LC-10M0"/>
    <s v="B20113"/>
    <x v="16"/>
    <s v="Pin lubrification"/>
    <s v="PINO E LANÇA NÃO ESTA LUBRIFICANDO"/>
    <m/>
    <n v="1262"/>
    <s v="Closed"/>
    <d v="2023-07-18T00:00:00"/>
    <m/>
    <d v="2022-07-20T00:00:00"/>
    <d v="2022-08-11T00:00:00"/>
    <s v="XX"/>
    <s v="PINO"/>
    <s v="ACCESSORY &amp; PARTS"/>
    <s v="ENTER/LEAKS"/>
    <s v="KDB (Plant) (51)"/>
    <m/>
    <s v="Completed"/>
    <d v="2023-08-08T17:43:38"/>
    <x v="1"/>
    <s v="KBI (9447)"/>
    <d v="2023-08-08T00:00:00"/>
    <s v="O ideal seria desmontar o componente para verificar o canal de lubrificação. Pois o fato da graxa não passar, pode vir a danificar os componentes internos (bucha e Pino). Não foi coletado óleo para analise, o cliente possui contrato realizado com a Mantomac de ate 2000 hrs. Possui frota de 04 equipamentos da Komatsu , sendo 03 PCC130LC e 01 D61EX-15E0.  Espera uma posição sobre a falha e alega que desde que comprou o equipamento o canal de lubrificação não funciona."/>
    <s v="Neia Sene"/>
    <s v="213PRB"/>
    <n v="21"/>
    <s v="FY2023"/>
    <n v="2023"/>
  </r>
  <r>
    <s v="KBISP202308517"/>
    <s v="PC130LC-10M0, BOOM, PIN, MALFUNCTION, DESGASTE PREMATURO NO PINO LANÇA-BRAÇO  "/>
    <s v="PC130LC-10M0"/>
    <s v="B20222"/>
    <x v="16"/>
    <s v="Pin wear"/>
    <s v="DESGASTE PREMATURO NO PINO LANÇA-BRAÇO"/>
    <m/>
    <n v="528"/>
    <s v="Closed"/>
    <d v="2023-08-15T00:00:00"/>
    <m/>
    <d v="2022-11-29T00:00:00"/>
    <d v="2023-05-16T00:00:00"/>
    <s v="22B-70-22550"/>
    <s v="PIN"/>
    <s v="BOOM"/>
    <s v="MALFUNCTION"/>
    <s v="KDB (Plant) (51)"/>
    <m/>
    <s v="Completed"/>
    <d v="2023-08-28T10:29:06"/>
    <x v="5"/>
    <s v="KBI (9447)"/>
    <d v="2023-08-28T00:00:00"/>
    <s v="O cliente realizou todas as revisões na concessionária e utilizou graxa Shell Gadus S2 V 220 2."/>
    <s v="Caio Rodrigues"/>
    <s v="213ESD"/>
    <n v="13"/>
    <s v="FY2023"/>
    <n v="2023"/>
  </r>
  <r>
    <s v="KBISP202308521"/>
    <s v="PC130LC-10M0, ACCESSORY &amp; PARTS, CHAVE, WRONG/MISSING PART, CHAVE DO EQUIPAMENTO NÃO COMPATÍVEL  "/>
    <s v="PC130LC-10M0"/>
    <s v="B20270"/>
    <x v="17"/>
    <s v="Wrong key delivered"/>
    <s v="CHAVE DO EQUIPAMENTO NÃO COMPATÍVEL"/>
    <m/>
    <n v="47"/>
    <s v="Sub.Submitted"/>
    <d v="2023-02-08T00:00:00"/>
    <d v="2023-02-08T00:00:00"/>
    <d v="2023-06-15T00:00:00"/>
    <m/>
    <s v="TR261434-0001"/>
    <s v="CHAVE"/>
    <s v="ACCESSORY &amp; PARTS"/>
    <s v="WRONG/MISSING PART"/>
    <s v="KDB (Plant) (51)"/>
    <s v="Pending Requests"/>
    <s v="Pending Request"/>
    <d v="2023-08-29T12:18:51"/>
    <x v="5"/>
    <s v="KBI (9447)"/>
    <d v="2023-08-29T00:00:00"/>
    <m/>
    <s v="Paulo Dias"/>
    <s v="213SPA"/>
    <n v="202"/>
    <s v="FY2023"/>
    <n v="2023"/>
  </r>
  <r>
    <s v="KBISP202309503"/>
    <s v="PC130LC-10M0, ARM, PIPE, WRONG/MISSING PART, FALTA DE COMPONENTES  "/>
    <s v="PC130LC-10M0"/>
    <s v="B20283"/>
    <x v="1"/>
    <s v="Missing part"/>
    <s v="FALTA DE COMPONENTES"/>
    <m/>
    <n v="4.9000000000000004"/>
    <s v="Plant.QA Approved"/>
    <d v="2023-09-04T00:00:00"/>
    <m/>
    <d v="2023-06-30T00:00:00"/>
    <m/>
    <s v="22B-70-21640"/>
    <s v="PIPE"/>
    <s v="ARM"/>
    <s v="WRONG/MISSING PART"/>
    <s v="KDB (Plant) (51)"/>
    <s v="KDB - Quality Assurance"/>
    <s v="In Process"/>
    <d v="2023-09-14T08:43:18"/>
    <x v="5"/>
    <s v="KBI (9447)"/>
    <d v="2023-09-14T00:00:00"/>
    <s v="Primeira máquina do cliente."/>
    <s v="Caio Rodrigues"/>
    <s v="213ESD"/>
    <n v="10"/>
    <s v="FY2023"/>
    <n v="2023"/>
  </r>
  <r>
    <s v="KBIPR202309508"/>
    <s v="PC130LC-10M0, ACCESSORY &amp; PARTS, ANEL O'RING, DEFECTIVE ADJUSTMENT, VAZAMENTO MANGUEIRA DE ALIMENTAÇÃO  "/>
    <s v="PC130LC-10M0"/>
    <s v="B20296"/>
    <x v="5"/>
    <s v="Hose leak"/>
    <s v="VAZAMENTO MANGUEIRA DE ALIMENTAÇÃO"/>
    <m/>
    <n v="17"/>
    <s v="Closed"/>
    <d v="2023-09-04T00:00:00"/>
    <d v="2023-09-04T00:00:00"/>
    <d v="2023-07-20T00:00:00"/>
    <m/>
    <s v="02896-61018E"/>
    <s v="ANEL O'RING"/>
    <s v="ACCESSORY &amp; PARTS"/>
    <s v="DEFECTIVE ADJUSTMENT"/>
    <s v="KDB (Plant) (51)"/>
    <m/>
    <s v="Completed"/>
    <d v="2023-09-21T10:52:09"/>
    <x v="1"/>
    <s v="KBI (9447)"/>
    <d v="2023-09-21T00:00:00"/>
    <s v="Acreditamos que não foi realizado o torque da porca da maquina adequadamente durante a montagem do equipamento na fabrica. Por isso que aconteceu de as mangueiras se soltarem ocasionando o vazamento. Após a substituição foi feito testes e realizado a entrega técnica ao cliente conforme manual de fabrica."/>
    <s v="Neia Sene"/>
    <s v="213PRB"/>
    <n v="17"/>
    <s v="FY2023"/>
    <n v="2023"/>
  </r>
  <r>
    <s v="KBIMB202309516"/>
    <s v="PC130LC-10M0, AIR CONDITIONER, O-ring, MALFUNCTION, VAZAMENTO LÍQUIDO REFRIGERANTE  "/>
    <s v="PC130LC-10M0"/>
    <s v="B20299"/>
    <x v="4"/>
    <s v="Coolant leak"/>
    <s v="VAZAMENTO LÍQUIDO REFRIGERANTE"/>
    <m/>
    <n v="7"/>
    <s v="Closed"/>
    <d v="2023-08-31T00:00:00"/>
    <d v="2023-09-01T00:00:00"/>
    <d v="2023-07-24T00:00:00"/>
    <m/>
    <s v="20Y-979-3140"/>
    <s v="O-ring"/>
    <s v="AIR CONDITIONER"/>
    <s v="MALFUNCTION"/>
    <s v="KDB (Plant) (51)"/>
    <m/>
    <s v="Completed"/>
    <d v="2023-09-25T13:56:25"/>
    <x v="3"/>
    <s v="KBI (9447)"/>
    <d v="2023-09-25T00:00:00"/>
    <s v="Equipamento liberado para operação."/>
    <s v="Whasterley Silva"/>
    <s v="213I"/>
    <n v="25"/>
    <s v="FY2023"/>
    <n v="2023"/>
  </r>
  <r>
    <s v="KBISP202307524"/>
    <s v="PC130LC-10M0, BUCKET(H/E BACKHOE), PINO, MALFUNCTION, FOLGA NA CAÇAMBA  "/>
    <s v="PC130LC-10M0"/>
    <s v="B20060"/>
    <x v="7"/>
    <s v="Bucket clearance"/>
    <s v="FOLGA NA CAÇAMBA"/>
    <m/>
    <n v="2028"/>
    <s v="Plant.Confirmed"/>
    <d v="2023-07-26T00:00:00"/>
    <m/>
    <d v="2022-05-20T00:00:00"/>
    <d v="2022-08-01T00:00:00"/>
    <s v="203-70-44380"/>
    <s v="PINO"/>
    <s v="BUCKET(H/E BACKHOE)"/>
    <s v="MALFUNCTION"/>
    <s v="KDB (Plant) (51)"/>
    <s v="KDB - Quality Assurance"/>
    <s v="In Process"/>
    <d v="2023-07-27T08:50:08"/>
    <x v="5"/>
    <s v="KBI (9447)"/>
    <d v="2023-09-27T00:00:00"/>
    <s v="O cliente realizou todas as revisões na concessionária e utilizou graxa à base de sabão de lítio com aditivo de pressão extrema."/>
    <s v="Caio Rodrigues"/>
    <s v="213ESD"/>
    <n v="63"/>
    <s v="FY2023"/>
    <n v="2023"/>
  </r>
  <r>
    <s v="KBISP202307526"/>
    <s v="PC130LC-10M0, BUCKET(H/E BACKHOE), PINO, MALFUNCTION, DESGASTE PREMATURO NO PINO DA CAÇAMBA  "/>
    <s v="PC130LC-10M0"/>
    <s v="B20162"/>
    <x v="7"/>
    <s v="Pin wear"/>
    <s v="DESGASTE PREMATURO NO PINO DA CAÇAMBA"/>
    <m/>
    <n v="1727"/>
    <s v="Closed"/>
    <d v="2023-07-26T00:00:00"/>
    <d v="2023-07-26T00:00:00"/>
    <d v="2022-09-26T00:00:00"/>
    <d v="2022-10-27T00:00:00"/>
    <s v="22B-70-22550"/>
    <s v="PINO"/>
    <s v="BUCKET(H/E BACKHOE)"/>
    <s v="MALFUNCTION"/>
    <s v="KDB (Plant) (51)"/>
    <m/>
    <s v="Completed"/>
    <d v="2023-07-27T09:12:28"/>
    <x v="5"/>
    <s v="KBI (9447)"/>
    <d v="2023-09-27T00:00:00"/>
    <s v="O cliente realizou todas as revisões na concessionária e utilizou graxa à base de sabão de lítio com aditivo de pressão extrema."/>
    <s v="Caio Rodrigues"/>
    <s v="213ESD"/>
    <n v="63"/>
    <s v="FY2023"/>
    <n v="2023"/>
  </r>
  <r>
    <s v="KBISP202309506"/>
    <s v="PC130LC-10M0, ARM, PINO, DEFECTIVE ADJUSTMENT, INEFICIÊNCIA NO FUNCIONAMENTO DO BRAÇO  "/>
    <s v="PC130LC-10M0"/>
    <s v="B20143"/>
    <x v="16"/>
    <s v="Boom cylinder cover"/>
    <s v="INEFICIÊNCIA NO FUNCIONAMENTO DO BRAÇO"/>
    <m/>
    <n v="759"/>
    <s v="Closed"/>
    <d v="2023-07-03T00:00:00"/>
    <d v="2023-07-14T00:00:00"/>
    <d v="2022-08-26T00:00:00"/>
    <m/>
    <s v="22B-70-21910"/>
    <s v="PINO"/>
    <s v="ARM"/>
    <s v="DEFECTIVE ADJUSTMENT"/>
    <s v="KDB (Plant) (51)"/>
    <m/>
    <s v="Completed"/>
    <d v="2023-09-28T15:57:37"/>
    <x v="5"/>
    <s v="KBI (9447)"/>
    <d v="2023-09-28T00:00:00"/>
    <m/>
    <s v="Paulo Dias"/>
    <s v="213SPA"/>
    <n v="87"/>
    <s v="FY2023"/>
    <n v="2023"/>
  </r>
  <r>
    <s v="KBISP202309509"/>
    <s v="PC130LC-10M0, ACCESSORY &amp; PARTS, CHAVE, MALFUNCTION,   "/>
    <s v="PC130LC-10M0"/>
    <s v="B20283"/>
    <x v="17"/>
    <s v="Wrong key delivered"/>
    <m/>
    <m/>
    <n v="4.7"/>
    <s v="Sub.Submitted"/>
    <d v="2023-08-31T00:00:00"/>
    <d v="2023-08-31T00:00:00"/>
    <d v="2023-06-30T00:00:00"/>
    <d v="2023-09-05T00:00:00"/>
    <s v="TR261434-0001"/>
    <s v="CHAVE"/>
    <s v="ACCESSORY &amp; PARTS"/>
    <s v="MALFUNCTION"/>
    <s v="KDB (Plant) (51)"/>
    <s v="Pending Requests"/>
    <s v="Pending Request"/>
    <d v="2023-09-29T16:44:46"/>
    <x v="5"/>
    <s v="KBI (9447)"/>
    <d v="2023-09-29T00:00:00"/>
    <m/>
    <s v="Paulo Dias"/>
    <s v="213SPA"/>
    <n v="29"/>
    <s v="FY2023"/>
    <n v="2023"/>
  </r>
  <r>
    <s v="KBISP202310514"/>
    <s v="PC130LC-10M0, IDLER, RODA GUIA L.E, BROKEN, FRATURA NA PISTA DE ROLAGEM RODA GUIA  "/>
    <s v="PC130LC-10M0"/>
    <s v="B20053"/>
    <x v="18"/>
    <s v="Front idler crack"/>
    <s v="FRATURA NA PISTA DE ROLAGEM RODA GUIA"/>
    <m/>
    <n v="1461"/>
    <s v="Closed"/>
    <d v="2023-09-20T00:00:00"/>
    <m/>
    <d v="2022-04-27T00:00:00"/>
    <d v="2022-06-08T00:00:00"/>
    <s v="203-30-B0010"/>
    <s v="RODA GUIA L.E"/>
    <s v="IDLER"/>
    <s v="BROKEN"/>
    <s v="KDB (Plant) (51)"/>
    <m/>
    <s v="Completed"/>
    <d v="2023-10-02T15:44:20"/>
    <x v="5"/>
    <s v="KBI (9447)"/>
    <d v="2023-10-03T00:00:00"/>
    <m/>
    <s v="Luis Siqueira"/>
    <s v="213SPA"/>
    <n v="13"/>
    <s v="FY2023"/>
    <n v="2023"/>
  </r>
  <r>
    <s v="KBISP202310515"/>
    <s v="PC130LC-10M0, AIR CONDITIONER, CONDENSADOR, ENTER/LEAKS, VAZAM. NO CONDENSADOR  "/>
    <s v="PC130LC-10M0"/>
    <s v="B20043"/>
    <x v="4"/>
    <s v="Condensor leak"/>
    <s v="VAZAM. NO CONDENSADOR"/>
    <m/>
    <n v="1244"/>
    <s v="Closed"/>
    <d v="2023-09-27T00:00:00"/>
    <m/>
    <d v="2022-04-14T00:00:00"/>
    <d v="2022-05-17T00:00:00"/>
    <s v="2A5-979-1282"/>
    <s v="CONDENSADOR"/>
    <s v="AIR CONDITIONER"/>
    <s v="ENTER/LEAKS"/>
    <s v="KDB (Plant) (51)"/>
    <m/>
    <s v="Completed"/>
    <d v="2023-10-05T10:30:03"/>
    <x v="5"/>
    <s v="KBI (9447)"/>
    <d v="2023-10-05T00:00:00"/>
    <m/>
    <s v="Paulo Dias"/>
    <s v="213SPA"/>
    <n v="8"/>
    <s v="FY2023"/>
    <n v="2023"/>
  </r>
  <r>
    <s v="KBISP202310521"/>
    <s v="PC130LC-10M0, ENGINE ASSY, TURBINA, MALFUNCTION, RUÍDO DEVIDO DANOS NA HÉLICE DA TURBINA  "/>
    <s v="PC130LC-10M0"/>
    <s v="B20255"/>
    <x v="19"/>
    <s v="Turbocharger"/>
    <s v="RUÍDO DEVIDO DANOS NA HÉLICE DA TURBINA"/>
    <m/>
    <n v="520"/>
    <s v="Closed"/>
    <d v="2023-09-22T00:00:00"/>
    <d v="2023-09-29T00:00:00"/>
    <d v="2023-03-16T00:00:00"/>
    <d v="2023-07-12T00:00:00"/>
    <s v="6271-81-8100"/>
    <s v="TURBINA"/>
    <s v="ENGINE ASSY"/>
    <s v="MALFUNCTION"/>
    <s v="KDB (Plant) (51)"/>
    <m/>
    <s v="Completed"/>
    <d v="2023-10-06T17:07:38"/>
    <x v="5"/>
    <s v="KBI (9447)"/>
    <d v="2023-10-06T00:00:00"/>
    <m/>
    <s v="Paulo Dias"/>
    <s v="213SPA"/>
    <n v="14"/>
    <s v="FY2023"/>
    <n v="2023"/>
  </r>
  <r>
    <s v="KBISP202310524"/>
    <s v="PC130LC-10M0, TC COOLER &amp; OIL COOLER GROUP, ANTICONGELANTE, HIGH/LOW LEVEL, NÍVEL BAIXO DE ANTICONGELANTE  "/>
    <s v="PC130LC-10M0"/>
    <s v="B20248"/>
    <x v="17"/>
    <s v="Coolant level"/>
    <s v="NÍVEL BAIXO DE ANTICONGELANTE"/>
    <m/>
    <n v="82"/>
    <s v="Closed"/>
    <d v="2023-09-22T00:00:00"/>
    <d v="2023-09-22T00:00:00"/>
    <d v="2023-02-23T00:00:00"/>
    <d v="2023-05-31T00:00:00"/>
    <s v="600-411-1113"/>
    <s v="ANTICONGELANTE"/>
    <s v="TC COOLER &amp; OIL COOLER GROUP"/>
    <s v="HIGH/LOW LEVEL"/>
    <s v="KDB (Plant) (51)"/>
    <m/>
    <s v="Completed"/>
    <d v="2023-10-09T10:08:01"/>
    <x v="5"/>
    <s v="KBI (9447)"/>
    <d v="2023-10-09T00:00:00"/>
    <m/>
    <s v="Paulo Dias"/>
    <s v="213SPA"/>
    <n v="17"/>
    <s v="FY2023"/>
    <n v="2023"/>
  </r>
  <r>
    <s v="KBISP202310529"/>
    <s v="PC130LC-10M0, IDLER, Vedação da roda guia, MALFUNCTION, Vazamento roda guia  "/>
    <s v="PC130LC-10M0"/>
    <s v="B20284"/>
    <x v="18"/>
    <s v="Front iddler seal"/>
    <s v="Vazamento roda guia"/>
    <m/>
    <n v="106.1"/>
    <s v="Sub.Received"/>
    <d v="2023-10-23T00:00:00"/>
    <m/>
    <d v="2023-06-30T00:00:00"/>
    <d v="2023-09-04T00:00:00"/>
    <s v="175-30-00702"/>
    <s v="Vedação da roda guia"/>
    <s v="IDLER"/>
    <s v="MALFUNCTION"/>
    <s v="KDB (Plant) (51)"/>
    <s v="KBI - Construction Service"/>
    <s v="In Process"/>
    <d v="2023-10-23T15:23:19"/>
    <x v="5"/>
    <s v="KBI (9447)"/>
    <d v="2023-10-23T00:00:00"/>
    <m/>
    <s v="Gabriel Bonifacio"/>
    <s v="213SPB"/>
    <n v="0"/>
    <s v="FY2023"/>
    <n v="2023"/>
  </r>
  <r>
    <s v="KBIPR202310510"/>
    <s v="PC130LC-10M0, BUCKET(H/E BACKHOE), CAÇAMBA, OTHER, DESGASTE PREMATURO DA CONCHA  "/>
    <s v="PC130LC-10M0"/>
    <s v="B20188"/>
    <x v="7"/>
    <s v="Bucket wear"/>
    <s v="DESGASTE PREMATURO DA CONCHA"/>
    <m/>
    <n v="1323"/>
    <s v="Sub.Received"/>
    <d v="2023-10-08T00:00:00"/>
    <m/>
    <d v="2022-10-25T00:00:00"/>
    <d v="2023-01-03T00:00:00"/>
    <s v="xx"/>
    <s v="CAÇAMBA"/>
    <s v="BUCKET(H/E BACKHOE)"/>
    <s v="OTHER"/>
    <s v="KDB (Plant) (51)"/>
    <s v="KBI - Construction Service"/>
    <s v="In Process"/>
    <d v="2023-10-24T15:30:56"/>
    <x v="1"/>
    <s v="KBI (9447)"/>
    <d v="2023-10-24T00:00:00"/>
    <s v="Analisando o ambiente de operação e a condição da caçamba em geral, entendemos que houve um desgaste prematuro nas chapas de desgaste e na solda da chapa de reforço lateral que soltou, por isso estamos solicitando uma análise para possível reparo em garantia."/>
    <s v="Neia Sene"/>
    <s v="213PRB"/>
    <n v="16"/>
    <s v="FY2023"/>
    <n v="2023"/>
  </r>
  <r>
    <s v="KBISP202311508"/>
    <s v="PC130LC-10M0, AIR CONDITIONER, COMPRESSOR, DEFECTIVE APPEARANCE,   "/>
    <s v="PC130LC-10M0"/>
    <s v="B20305"/>
    <x v="4"/>
    <s v="Compressor"/>
    <m/>
    <m/>
    <n v="67"/>
    <s v="Sub.Received"/>
    <d v="2023-10-02T00:00:00"/>
    <d v="2023-10-27T00:00:00"/>
    <d v="2023-07-31T00:00:00"/>
    <d v="2023-09-05T00:00:00"/>
    <s v="20Y-810-1260"/>
    <s v="COMPRESSOR"/>
    <s v="AIR CONDITIONER"/>
    <s v="DEFECTIVE APPEARANCE"/>
    <s v="KDB (Plant) (51)"/>
    <s v="KBI - Construction Service"/>
    <s v="In Process"/>
    <d v="2023-11-10T16:31:44"/>
    <x v="5"/>
    <s v="KBI (9447)"/>
    <d v="2023-11-10T00:00:00"/>
    <m/>
    <s v="Luis Siqueira"/>
    <s v="213SPA"/>
    <n v="39"/>
    <s v="FY2023"/>
    <n v="2023"/>
  </r>
  <r>
    <s v="KBIPR202311504"/>
    <s v="PC130LC-10M0, SPROCKET, Roda Dentada, DEFECTIVE APPEARANCE, RODA MOTRIZ DESPLACANDO  "/>
    <s v="PC130LC-10M0"/>
    <s v="B20296"/>
    <x v="20"/>
    <s v="Sprocket"/>
    <s v="RODA MOTRIZ DESPLACANDO"/>
    <m/>
    <n v="296"/>
    <s v="Sub.Received"/>
    <d v="2023-11-09T00:00:00"/>
    <m/>
    <d v="2023-07-20T00:00:00"/>
    <d v="2023-09-04T00:00:00"/>
    <s v="203-27-D1110"/>
    <s v="Roda Dentada"/>
    <s v="SPROCKET"/>
    <s v="DEFECTIVE APPEARANCE"/>
    <s v="KDB (Plant) (51)"/>
    <s v="KBI - Construction Service"/>
    <s v="In Process"/>
    <d v="2023-11-17T00:00:00"/>
    <x v="1"/>
    <s v="KBI (9447)"/>
    <d v="2023-11-17T00:00:00"/>
    <s v="Foi realizado inspeção visual nos roletes, correntes, rodas motrizes, verificado aperto do conjunto do comando final, folga das esteiras e realizado testes operacionais. Nos testes realizados não ocorreu a situação apontada pelo cliente de a esteira estar “montando”, porém foi verificado uma diferença nas condições entre as rodas motrizes do LE e do LD. Conforme evidências apresentadas, a roda motriz do lado direiro apresenta marcas de arrancamento de material ou falha de fabricação. O Cliente demontra preocupação devido o equipamento estar com pouco uso. Orientamos o mesmo que iriamos entrar em contato com fabrica para saber se teria algum procedimento para essa falha."/>
    <s v="Neia Sene"/>
    <s v="213PRB"/>
    <n v="8"/>
    <s v="FY2023"/>
    <n v="2023"/>
  </r>
  <r>
    <s v="KBISP202311511"/>
    <s v="PC130LC-10M0, HYDRAULIC CONTROL VALVE, COMADO HIDRAULICO, MALFUNCTION,   "/>
    <s v="PC130LC-10M0"/>
    <s v="B20255"/>
    <x v="21"/>
    <s v="Internal leak"/>
    <m/>
    <m/>
    <n v="738"/>
    <s v="Sub.Submitted"/>
    <d v="2023-11-08T00:00:00"/>
    <m/>
    <d v="2023-03-16T00:00:00"/>
    <d v="2023-07-12T00:00:00"/>
    <s v="723-56-15804"/>
    <s v="COMADO HIDRAULICO"/>
    <s v="HYDRAULIC CONTROL VALVE"/>
    <s v="MALFUNCTION"/>
    <s v="KDB (Plant) (51)"/>
    <s v="Pending Requests"/>
    <s v="Pending Request"/>
    <d v="2023-11-21T00:00:00"/>
    <x v="5"/>
    <s v="KBI (9447)"/>
    <d v="2023-11-21T00:00:00"/>
    <m/>
    <s v="Paulo Dias"/>
    <s v="213SPA"/>
    <n v="13"/>
    <s v="FY2023"/>
    <n v="2023"/>
  </r>
  <r>
    <s v="KBISP202311513"/>
    <s v="PC130LC-10M0, ENGINE ASSY, MUFFLER, MALFUNCTION,   "/>
    <s v="PC130LC-10M0"/>
    <s v="B20291"/>
    <x v="13"/>
    <s v="Abnormal noise on muffler (before countermeasure)"/>
    <m/>
    <m/>
    <n v="382"/>
    <s v="Sub.Received"/>
    <d v="2023-11-16T00:00:00"/>
    <d v="2023-11-21T00:00:00"/>
    <d v="2023-07-14T00:00:00"/>
    <d v="2023-09-05T00:00:00"/>
    <s v="6271-11-5230"/>
    <s v="MUFFLER"/>
    <s v="ENGINE ASSY"/>
    <s v="MALFUNCTION"/>
    <s v="KDB (Plant) (51)"/>
    <s v="KBI - Construction Service"/>
    <s v="In Process"/>
    <d v="2023-11-22T00:00:00"/>
    <x v="5"/>
    <s v="KBI (9447)"/>
    <d v="2023-11-22T00:00:00"/>
    <s v="PRIMEIRA MÁQUINA DO CLIENTE"/>
    <s v="Caio Rodrigues"/>
    <s v="213ESD"/>
    <n v="6"/>
    <s v="FY2023"/>
    <n v="2023"/>
  </r>
  <r>
    <s v="KBISP202311518"/>
    <s v="PC130LC-10M0, ENGINE ASSY, MUFFLER, MALFUNCTION,   "/>
    <s v="PC130LC-10M0"/>
    <s v="B20311"/>
    <x v="13"/>
    <s v="Abnormal noise on muffler (before countermeasure)"/>
    <m/>
    <m/>
    <n v="380"/>
    <s v="Sub.Received"/>
    <d v="2023-11-27T00:00:00"/>
    <m/>
    <d v="2023-08-04T00:00:00"/>
    <d v="2023-10-19T00:00:00"/>
    <s v="6271/11/5230"/>
    <s v="MUFFLER"/>
    <s v="ENGINE ASSY"/>
    <s v="MALFUNCTION"/>
    <s v="KDB (Plant) (51)"/>
    <s v="KBI - Construction Service"/>
    <s v="In Process"/>
    <d v="2023-11-28T00:00:00"/>
    <x v="5"/>
    <s v="KBI (9447)"/>
    <d v="2023-11-28T00:00:00"/>
    <m/>
    <s v="Caio Rodrigues"/>
    <s v="213ESD"/>
    <n v="1"/>
    <s v="FY2023"/>
    <n v="2023"/>
  </r>
  <r>
    <s v="KBISP202311519"/>
    <s v="PC130LC-10M0, BOOM, 203-70-61760, DEFECTIVE APPEARANCE,   "/>
    <s v="PC130LC-10M0"/>
    <s v="B20337"/>
    <x v="1"/>
    <s v="Painting"/>
    <m/>
    <m/>
    <n v="57"/>
    <s v="Sub.Received"/>
    <d v="2023-11-28T00:00:00"/>
    <d v="2023-11-28T00:00:00"/>
    <d v="2023-09-26T00:00:00"/>
    <m/>
    <s v="203-70-61760"/>
    <s v="203-70-61760"/>
    <s v="BOOM"/>
    <s v="DEFECTIVE APPEARANCE"/>
    <s v="KDB (Plant) (51)"/>
    <s v="KBI - Construction Service"/>
    <s v="In Process"/>
    <d v="2023-11-28T00:00:00"/>
    <x v="5"/>
    <s v="KBI (9447)"/>
    <d v="2023-11-28T00:00:00"/>
    <s v="Primeira máquina do cliente"/>
    <s v="Caio Rodrigues"/>
    <s v="213ESD"/>
    <n v="0"/>
    <s v="FY2023"/>
    <n v="2023"/>
  </r>
  <r>
    <s v="KBISP202312501"/>
    <s v="PC130LC-10M0, OTHERS, ÓLEO HIDRÁULICO, HIGH/LOW LEVEL,   "/>
    <s v="PC130LC-10M0"/>
    <s v="B20292"/>
    <x v="22"/>
    <s v="Hyd. Oil level"/>
    <m/>
    <m/>
    <n v="305"/>
    <s v="Sub.Received"/>
    <d v="2023-10-20T00:00:00"/>
    <d v="2023-10-20T00:00:00"/>
    <d v="2023-07-17T00:00:00"/>
    <m/>
    <s v="43346855"/>
    <s v="ÓLEO HIDRÁULICO"/>
    <s v="OTHERS"/>
    <s v="HIGH/LOW LEVEL"/>
    <s v="KDB (Plant) (51)"/>
    <s v="KBI - Construction Service"/>
    <s v="In Process"/>
    <d v="2023-12-01T00:00:00"/>
    <x v="5"/>
    <s v="KBI (9447)"/>
    <d v="2023-12-01T00:00:00"/>
    <m/>
    <s v="Paulo Dias"/>
    <s v="213SPA"/>
    <n v="42"/>
    <s v="FY2023"/>
    <n v="2023"/>
  </r>
  <r>
    <s v="KBISP202312503"/>
    <s v="PC130LC-10M0, AIR CONDITIONER, 203-979-1121, MALFUNCTION,   "/>
    <s v="PC130LC-10M0"/>
    <s v="B20306"/>
    <x v="4"/>
    <s v="A/C"/>
    <m/>
    <m/>
    <n v="48"/>
    <s v="Sub.Received"/>
    <d v="2023-09-20T00:00:00"/>
    <m/>
    <d v="2023-08-01T00:00:00"/>
    <m/>
    <s v="203-979-1121"/>
    <s v="203-979-1121"/>
    <s v="AIR CONDITIONER"/>
    <s v="MALFUNCTION"/>
    <s v="KDB (Plant) (51)"/>
    <s v="KBI - Construction Service"/>
    <s v="In Process"/>
    <d v="2023-12-01T00:00:00"/>
    <x v="5"/>
    <s v="KBI (9447)"/>
    <d v="2023-12-01T00:00:00"/>
    <s v="PRIMEIRA MÁQUINA DO CLIENTE"/>
    <s v="Caio Rodrigues"/>
    <s v="213ESD"/>
    <n v="72"/>
    <s v="FY2023"/>
    <n v="2023"/>
  </r>
  <r>
    <s v="KBISP202312510"/>
    <s v="PC130LC-10M0, BUCKET(H/E BACKHOE), LINK, DEFECTIVE APPEARANCE, MAL ACABAMENTO NO LINK DO BRAÇO-CAÇAMBA  "/>
    <s v="PC130LC-10M0"/>
    <s v="B20317"/>
    <x v="7"/>
    <s v="Bucket link visual complain"/>
    <s v="MAL ACABAMENTO NO LINK DO BRAÇO-CAÇAMBA"/>
    <m/>
    <n v="6.5"/>
    <s v="Closed"/>
    <d v="2023-12-07T00:00:00"/>
    <m/>
    <d v="2023-08-29T00:00:00"/>
    <m/>
    <s v="202-70-64131"/>
    <s v="LINK"/>
    <s v="BUCKET(H/E BACKHOE)"/>
    <s v="DEFECTIVE APPEARANCE"/>
    <s v="KDB (Plant) (51)"/>
    <m/>
    <s v="Completed"/>
    <d v="2023-12-07T13:18:16"/>
    <x v="5"/>
    <s v="KBI (9447)"/>
    <d v="2023-12-07T00:00:00"/>
    <s v="MÁQUINA DE PÁTIO"/>
    <s v="Gabriel Augusto"/>
    <s v="213ESD"/>
    <n v="0"/>
    <s v="FY2023"/>
    <n v="2023"/>
  </r>
  <r>
    <s v="KBISP202312511"/>
    <s v="PC130LC-10M0, BUCKET(H/E BACKHOE), LINK, DEFECTIVE APPEARANCE, MAL ACABAMENTO NO LINK DO BRAÇO-CAÇAMBA  "/>
    <s v="PC130LC-10M0"/>
    <s v="B20340"/>
    <x v="7"/>
    <s v="Bucket link visual complain"/>
    <s v="MAL ACABAMENTO NO LINK DO BRAÇO-CAÇAMBA"/>
    <m/>
    <n v="4.8"/>
    <s v="Closed"/>
    <d v="2023-12-07T00:00:00"/>
    <m/>
    <d v="2023-09-29T00:00:00"/>
    <m/>
    <s v="202-70-64131"/>
    <s v="LINK"/>
    <s v="BUCKET(H/E BACKHOE)"/>
    <s v="DEFECTIVE APPEARANCE"/>
    <s v="KDB (Plant) (51)"/>
    <m/>
    <s v="Completed"/>
    <d v="2023-12-07T13:25:35"/>
    <x v="5"/>
    <s v="KBI (9447)"/>
    <d v="2023-12-07T00:00:00"/>
    <s v="MÁQUINA DE PÁTIO"/>
    <s v="Gabriel Augusto"/>
    <s v="213ESD"/>
    <n v="0"/>
    <s v="FY2023"/>
    <n v="2023"/>
  </r>
  <r>
    <s v="KBISP202312512"/>
    <s v="PC130LC-10M0, BUCKET(H/E BACKHOE), LINK, DEFECTIVE APPEARANCE, MAL ACABAMENTO NO LINK DO BRAÇO-CAÇAMBA  "/>
    <s v="PC130LC-10M0"/>
    <s v="B20343"/>
    <x v="7"/>
    <s v="Bucket link visual complain"/>
    <s v="MAL ACABAMENTO NO LINK DO BRAÇO-CAÇAMBA"/>
    <m/>
    <n v="6.8"/>
    <s v="Closed"/>
    <d v="2023-12-07T00:00:00"/>
    <m/>
    <d v="2023-10-02T00:00:00"/>
    <m/>
    <s v="202-70-64131"/>
    <s v="LINK"/>
    <s v="BUCKET(H/E BACKHOE)"/>
    <s v="DEFECTIVE APPEARANCE"/>
    <s v="KDB (Plant) (51)"/>
    <m/>
    <s v="Completed"/>
    <d v="2023-12-07T13:28:54"/>
    <x v="5"/>
    <s v="KBI (9447)"/>
    <d v="2023-12-07T00:00:00"/>
    <s v="MÁQUINA DE PÁTIO"/>
    <s v="Gabriel Augusto"/>
    <s v="213ESD"/>
    <n v="0"/>
    <s v="FY2023"/>
    <n v="2023"/>
  </r>
  <r>
    <s v="KBISP202312513"/>
    <s v="PC130LC-10M0, BUCKET(H/E BACKHOE), LINK, DEFECTIVE APPEARANCE, MAL ACABAMENTO NO LINK DO BRAÇO-CAÇAMBA  "/>
    <s v="PC130LC-10M0"/>
    <s v="B20349"/>
    <x v="7"/>
    <s v="Bucket link visual complain"/>
    <s v="MAL ACABAMENTO NO LINK DO BRAÇO-CAÇAMBA"/>
    <m/>
    <n v="4"/>
    <s v="Closed"/>
    <d v="2023-12-07T00:00:00"/>
    <m/>
    <d v="2023-10-16T00:00:00"/>
    <m/>
    <s v="202-70-64131"/>
    <s v="LINK"/>
    <s v="BUCKET(H/E BACKHOE)"/>
    <s v="DEFECTIVE APPEARANCE"/>
    <s v="KDB (Plant) (51)"/>
    <m/>
    <s v="Completed"/>
    <d v="2023-12-07T15:20:56"/>
    <x v="5"/>
    <s v="KBI (9447)"/>
    <d v="2023-12-07T00:00:00"/>
    <m/>
    <s v="Paulo Dias"/>
    <s v="213SPA"/>
    <n v="0"/>
    <s v="FY2023"/>
    <n v="2023"/>
  </r>
  <r>
    <s v="KBISP202312514"/>
    <s v="PC130LC-10M0, BUCKET(H/E BACKHOE), LINK, DEFECTIVE APPEARANCE, MAL ACABAMENTO NO LINK DO BRAÇO-CAÇAMBA  "/>
    <s v="PC130LC-10M0"/>
    <s v="B20347"/>
    <x v="7"/>
    <s v="Bucket link visual complain"/>
    <s v="MAL ACABAMENTO NO LINK DO BRAÇO-CAÇAMBA"/>
    <m/>
    <n v="3"/>
    <s v="Closed"/>
    <d v="2023-12-07T00:00:00"/>
    <m/>
    <d v="2023-10-09T00:00:00"/>
    <m/>
    <s v="202-70-64131"/>
    <s v="LINK"/>
    <s v="BUCKET(H/E BACKHOE)"/>
    <s v="DEFECTIVE APPEARANCE"/>
    <s v="KDB (Plant) (51)"/>
    <m/>
    <s v="Completed"/>
    <d v="2023-12-07T19:36:46"/>
    <x v="5"/>
    <s v="KBI (9447)"/>
    <d v="2023-12-07T00:00:00"/>
    <m/>
    <s v="Paulo Dias"/>
    <s v="213SPA"/>
    <n v="0"/>
    <s v="FY2023"/>
    <n v="2023"/>
  </r>
  <r>
    <s v="KBISP202312515"/>
    <s v="PC130LC-10M0, BUCKET(H/E BACKHOE), LINK, DEFECTIVE APPEARANCE, MAL ACABAMENTO NO LINK DO BRAÇO-CAÇAMBA  "/>
    <s v="PC130LC-10M0"/>
    <s v="B20348"/>
    <x v="7"/>
    <s v="Bucket link visual complain"/>
    <s v="MAL ACABAMENTO NO LINK DO BRAÇO-CAÇAMBA"/>
    <m/>
    <n v="3"/>
    <s v="Closed"/>
    <d v="2023-12-07T00:00:00"/>
    <m/>
    <d v="2023-10-11T00:00:00"/>
    <m/>
    <s v="202-70-64131"/>
    <s v="LINK"/>
    <s v="BUCKET(H/E BACKHOE)"/>
    <s v="DEFECTIVE APPEARANCE"/>
    <s v="KDB (Plant) (51)"/>
    <m/>
    <s v="Completed"/>
    <d v="2023-12-07T19:41:36"/>
    <x v="5"/>
    <s v="KBI (9447)"/>
    <d v="2023-12-07T00:00:00"/>
    <m/>
    <s v="Paulo Dias"/>
    <s v="213SPA"/>
    <n v="0"/>
    <s v="FY2023"/>
    <n v="2023"/>
  </r>
  <r>
    <s v="KBISP202312516"/>
    <s v="PC130LC-10M0, BUCKET(H/E BACKHOE), LINK, DEFECTIVE APPEARANCE, MAL ACABAMENTO NO LINK DO BRAÇO-CAÇAMBA  "/>
    <s v="PC130LC-10M0"/>
    <s v="B20354"/>
    <x v="7"/>
    <s v="Bucket link visual complain"/>
    <s v="MAL ACABAMENTO NO LINK DO BRAÇO-CAÇAMBA"/>
    <m/>
    <n v="3"/>
    <s v="Closed"/>
    <d v="2023-12-07T00:00:00"/>
    <m/>
    <d v="2023-10-20T00:00:00"/>
    <m/>
    <s v="202-70-64131"/>
    <s v="LINK"/>
    <s v="BUCKET(H/E BACKHOE)"/>
    <s v="DEFECTIVE APPEARANCE"/>
    <s v="KDB (Plant) (51)"/>
    <m/>
    <s v="Completed"/>
    <d v="2023-12-07T19:44:20"/>
    <x v="5"/>
    <s v="KBI (9447)"/>
    <d v="2023-12-07T00:00:00"/>
    <m/>
    <s v="Paulo Dias"/>
    <s v="213SPA"/>
    <n v="0"/>
    <s v="FY2023"/>
    <n v="2023"/>
  </r>
  <r>
    <s v="KBISP202312517"/>
    <s v="PC130LC-10M0, BUCKET(H/E BACKHOE), LINK, DEFECTIVE APPEARANCE, MAL ACABAMENTO NO LINK DO BRAÇO-CAÇAMBA  "/>
    <s v="PC130LC-10M0"/>
    <s v="B20355"/>
    <x v="7"/>
    <s v="Bucket link visual complain"/>
    <s v="MAL ACABAMENTO NO LINK DO BRAÇO-CAÇAMBA"/>
    <m/>
    <n v="4"/>
    <s v="Closed"/>
    <d v="2023-12-07T00:00:00"/>
    <m/>
    <d v="2023-10-23T00:00:00"/>
    <m/>
    <s v="202-70-64131"/>
    <s v="LINK"/>
    <s v="BUCKET(H/E BACKHOE)"/>
    <s v="DEFECTIVE APPEARANCE"/>
    <s v="KDB (Plant) (51)"/>
    <m/>
    <s v="Completed"/>
    <d v="2023-12-07T19:47:13"/>
    <x v="5"/>
    <s v="KBI (9447)"/>
    <d v="2023-12-07T00:00:00"/>
    <m/>
    <s v="Paulo Dias"/>
    <s v="213SPA"/>
    <n v="0"/>
    <s v="FY2023"/>
    <n v="2023"/>
  </r>
  <r>
    <s v="KBISP202312518"/>
    <s v="PC130LC-10M0, BUCKET(H/E BACKHOE), LINK, DEFECTIVE APPEARANCE, MAL ACABAMENTO NO LINK DO BRAÇO-CAÇAMBA  "/>
    <s v="PC130LC-10M0"/>
    <s v="B20350"/>
    <x v="7"/>
    <s v="Bucket link visual complain"/>
    <s v="MAL ACABAMENTO NO LINK DO BRAÇO-CAÇAMBA"/>
    <m/>
    <n v="3"/>
    <s v="Closed"/>
    <d v="2023-12-07T00:00:00"/>
    <m/>
    <d v="2023-10-18T00:00:00"/>
    <m/>
    <s v="202-70-64131"/>
    <s v="LINK"/>
    <s v="BUCKET(H/E BACKHOE)"/>
    <s v="DEFECTIVE APPEARANCE"/>
    <s v="KDB (Plant) (51)"/>
    <m/>
    <s v="Completed"/>
    <d v="2023-12-07T19:50:39"/>
    <x v="5"/>
    <s v="KBI (9447)"/>
    <d v="2023-12-07T00:00:00"/>
    <m/>
    <s v="Paulo Dias"/>
    <s v="213SPA"/>
    <n v="0"/>
    <s v="FY2023"/>
    <n v="2023"/>
  </r>
  <r>
    <s v="KBISP202312519"/>
    <s v="PC130LC-10M0, ARM, LINK, DEFECTIVE APPEARANCE,   "/>
    <s v="PC130LC-10M0"/>
    <s v="B20338"/>
    <x v="7"/>
    <s v="Bucket link visual complain"/>
    <m/>
    <m/>
    <n v="14"/>
    <s v="Sub.Received"/>
    <d v="2023-11-07T00:00:00"/>
    <m/>
    <d v="2023-09-27T00:00:00"/>
    <d v="2023-11-06T00:00:00"/>
    <s v="202-70-64131"/>
    <s v="LINK"/>
    <s v="ARM"/>
    <s v="DEFECTIVE APPEARANCE"/>
    <s v="KDB (Plant) (51)"/>
    <s v="KBI - Construction Service"/>
    <s v="In Process"/>
    <d v="2023-12-07T20:20:22"/>
    <x v="5"/>
    <s v="KBI (9447)"/>
    <d v="2023-12-07T00:00:00"/>
    <m/>
    <s v="Paulo Dias"/>
    <s v="213SPA"/>
    <n v="30"/>
    <s v="FY2023"/>
    <n v="2023"/>
  </r>
  <r>
    <s v="KBISP202312520"/>
    <s v="PC130LC-10M0, BOOM, PINO, MALFUNCTION, DESGASTE PREMATURO PINO E BUCHA  "/>
    <s v="PC130LC-10M0"/>
    <s v="B20312"/>
    <x v="16"/>
    <s v="Pin wear"/>
    <s v="DESGASTE PREMATURO PINO E BUCHA"/>
    <m/>
    <n v="337"/>
    <s v="Closed"/>
    <d v="2023-12-07T00:00:00"/>
    <m/>
    <d v="2023-08-07T00:00:00"/>
    <d v="2023-10-03T00:00:00"/>
    <s v="22B-70-22550"/>
    <s v="PINO"/>
    <s v="BOOM"/>
    <s v="MALFUNCTION"/>
    <s v="KDB (Plant) (51)"/>
    <m/>
    <s v="Completed"/>
    <d v="2023-12-11T10:38:50"/>
    <x v="5"/>
    <s v="KBI (9447)"/>
    <d v="2023-12-11T00:00:00"/>
    <s v="Primeira máquina do cliente"/>
    <s v="Caio Rodrigues"/>
    <s v="213ESD"/>
    <n v="4"/>
    <s v="FY2023"/>
    <n v="2023"/>
  </r>
  <r>
    <s v="KBISP202312521"/>
    <s v="PC130LC-10M0, SWIVEL JOINT, 07002-22034, MALFUNCTION,   "/>
    <s v="PC130LC-10M0"/>
    <s v="B20336"/>
    <x v="23"/>
    <s v="Swivel joint leak"/>
    <m/>
    <m/>
    <n v="21"/>
    <s v="Sub.Received"/>
    <d v="2023-12-12T00:00:00"/>
    <m/>
    <d v="2023-09-26T00:00:00"/>
    <m/>
    <s v="07002-22034"/>
    <s v="07002-22034"/>
    <s v="SWIVEL JOINT"/>
    <s v="MALFUNCTION"/>
    <s v="KDB (Plant) (51)"/>
    <s v="KBI - Construction Service"/>
    <s v="In Process"/>
    <d v="2023-12-12T14:16:04"/>
    <x v="5"/>
    <s v="KBI (9447)"/>
    <d v="2023-12-12T00:00:00"/>
    <s v="Primeira máquina do cliente ."/>
    <s v="Caio Rodrigues"/>
    <s v="213ESD"/>
    <n v="0"/>
    <s v="FY2023"/>
    <n v="2023"/>
  </r>
  <r>
    <s v="KBIRS202312505"/>
    <s v="PC130LC-10M0, AIR CONDITIONER, SUPORTE CONDENSADOR, DEFECTIVE APPEARANCE,   "/>
    <s v="PC130LC-10M0"/>
    <s v="B20141"/>
    <x v="4"/>
    <s v="Condensor support crack"/>
    <m/>
    <m/>
    <n v="1684"/>
    <s v="Sub.Received"/>
    <d v="2023-10-31T00:00:00"/>
    <d v="2023-12-12T00:00:00"/>
    <d v="2022-08-23T00:00:00"/>
    <d v="2023-01-24T00:00:00"/>
    <s v="204-03-72111"/>
    <s v="SUPORTE CONDENSADOR"/>
    <s v="AIR CONDITIONER"/>
    <s v="DEFECTIVE APPEARANCE"/>
    <s v="KDB (Plant) (51)"/>
    <s v="KBI - Construction Service"/>
    <s v="In Process"/>
    <d v="2023-12-18T00:00:00"/>
    <x v="8"/>
    <s v="KBI (9447)"/>
    <d v="2023-12-18T00:00:00"/>
    <m/>
    <s v="Gioge Seben"/>
    <s v="213RSC"/>
    <n v="48"/>
    <s v="FY2023"/>
    <n v="2023"/>
  </r>
  <r>
    <s v="KBISP202312524"/>
    <s v="PC130LC-10M0, BOOM, PINO, DEFECTIVE ADJUSTMENT, DESGASTE PREMATURO DO PINO DA LANÇA  "/>
    <s v="PC130LC-10M0"/>
    <s v="B20291"/>
    <x v="16"/>
    <s v="Pin wear"/>
    <s v="DESGASTE PREMATURO DO PINO DA LANÇA"/>
    <m/>
    <n v="3825"/>
    <s v="Closed"/>
    <d v="2023-11-21T00:00:00"/>
    <m/>
    <d v="2023-07-14T00:00:00"/>
    <d v="2023-09-05T00:00:00"/>
    <s v="22B-70-22550"/>
    <s v="PINO"/>
    <s v="BOOM"/>
    <s v="DEFECTIVE ADJUSTMENT"/>
    <s v="KDB (Plant) (51)"/>
    <m/>
    <s v="Completed"/>
    <d v="2023-12-18T00:00:00"/>
    <x v="5"/>
    <s v="KBI (9447)"/>
    <d v="2023-12-18T00:00:00"/>
    <s v="PRIMEIRA MÁQUINA DO CLIENTE"/>
    <s v="Caio Rodrigues"/>
    <s v="213ESD"/>
    <n v="27"/>
    <s v="FY2023"/>
    <n v="2023"/>
  </r>
  <r>
    <s v="KBISP202312533"/>
    <s v="PC130LC-10M0, BUCKET(H/E BACKHOE), BUCKET, DEFORMATION,   "/>
    <s v="PC130LC-10M0"/>
    <s v="B20317"/>
    <x v="7"/>
    <s v="Bucket clearance"/>
    <m/>
    <m/>
    <n v="67"/>
    <s v="Sub.Received"/>
    <d v="2023-12-21T00:00:00"/>
    <d v="2023-12-21T00:00:00"/>
    <d v="2023-08-29T00:00:00"/>
    <m/>
    <s v="203-70-B2010"/>
    <s v="BUCKET"/>
    <s v="BUCKET(H/E BACKHOE)"/>
    <s v="DEFORMATION"/>
    <s v="KDB (Plant) (51)"/>
    <s v="KBI - Construction Service"/>
    <s v="In Process"/>
    <d v="2023-12-21T00:00:00"/>
    <x v="5"/>
    <s v="KBI (9447)"/>
    <d v="2023-12-21T00:00:00"/>
    <m/>
    <s v="Caio Rodrigues"/>
    <s v="213ESD"/>
    <n v="0"/>
    <s v="FY2023"/>
    <n v="2023"/>
  </r>
  <r>
    <s v="KBIMB202312528"/>
    <s v="PC130LC-10M0, POWER TRAIN UNIT, SWITCH, DEFECTIVE APPEARANCE, Botão Power max não aciona  "/>
    <s v="PC130LC-10M0"/>
    <s v="B20216"/>
    <x v="8"/>
    <s v="Joystick"/>
    <s v="Botão Power max não aciona"/>
    <m/>
    <n v="493"/>
    <s v="Sub.Received"/>
    <d v="2023-12-11T00:00:00"/>
    <d v="2023-12-27T00:00:00"/>
    <d v="2022-11-24T00:00:00"/>
    <m/>
    <s v="22U-43-21211"/>
    <s v="SWITCH"/>
    <s v="POWER TRAIN UNIT"/>
    <s v="DEFECTIVE APPEARANCE"/>
    <s v="KDB (Plant) (51)"/>
    <s v="KBI - Construction Service"/>
    <s v="In Process"/>
    <d v="2023-12-28T00:00:00"/>
    <x v="3"/>
    <s v="KBI (9447)"/>
    <d v="2023-12-28T00:00:00"/>
    <s v="FALHA NO BOTAO DE ACIONAMENTO  DO POWER MAX."/>
    <s v="Higor Alves"/>
    <s v="213MGC"/>
    <n v="17"/>
    <s v="FY2023"/>
    <n v="2023"/>
  </r>
  <r>
    <s v="KBIPR202312510"/>
    <s v="PC130LC-10M0, BUCKET(H/E BACKHOE), CAÇAMBA, BROKEN, FALHA NA CAÇAMBA DE TRABALHO  "/>
    <s v="PC130LC-10M0"/>
    <s v="B20203"/>
    <x v="7"/>
    <s v="Bucket crack"/>
    <s v="FALHA NA CAÇAMBA DE TRABALHO"/>
    <m/>
    <n v="2193"/>
    <s v="Sub.Received"/>
    <d v="2023-12-23T00:00:00"/>
    <m/>
    <d v="2022-11-11T00:00:00"/>
    <m/>
    <s v="XX"/>
    <s v="CAÇAMBA"/>
    <s v="BUCKET(H/E BACKHOE)"/>
    <s v="BROKEN"/>
    <s v="KDB (Plant) (51)"/>
    <s v="KBI - Construction Service"/>
    <s v="In Process"/>
    <d v="2023-12-28T00:00:00"/>
    <x v="1"/>
    <s v="KBI (9447)"/>
    <d v="2023-12-28T00:00:00"/>
    <s v="O CLIENTE DEMONSTRA PREOCUPAÇÃO COM ESSA CAÇAMBA, OPERA COM EQUIPAMENTOS NO MARANHÃO. O MESMO POSSUI OU ROS EQUIPAMENTOS COMO CARREGADEIRAS DE RODAS KOMATSU WA200 E WA320, E TAMBÉM DUAS ESCAVADEIRAS 313 CATERPILLAR NA MESMA OPERAÇÃO DA PC130LC-10M0."/>
    <s v="Neia Sene"/>
    <s v="213PRB"/>
    <n v="5"/>
    <s v="FY2023"/>
    <n v="2023"/>
  </r>
  <r>
    <s v="KBISP202312540"/>
    <s v="PC130LC-10M0, TRACK ROLLER, TRACK GUARD, WRONG/MISSING PART,   "/>
    <s v="PC130LC-10M0"/>
    <s v="B20340"/>
    <x v="11"/>
    <s v="Missing part"/>
    <m/>
    <m/>
    <n v="3"/>
    <s v="Sub.Received"/>
    <d v="2023-12-29T00:00:00"/>
    <m/>
    <d v="2023-09-29T00:00:00"/>
    <m/>
    <s v="203-30-56151"/>
    <s v="TRACK GUARD"/>
    <s v="TRACK ROLLER"/>
    <s v="WRONG/MISSING PART"/>
    <s v="KDB (Plant) (51)"/>
    <s v="KBI - Construction Service"/>
    <s v="In Process"/>
    <d v="2023-12-29T00:00:00"/>
    <x v="5"/>
    <s v="KBI (9447)"/>
    <d v="2023-12-29T00:00:00"/>
    <s v="Primeiro equipamento do cliente."/>
    <s v="Caio Rodrigues"/>
    <s v="213ESD"/>
    <n v="0"/>
    <s v="FY2023"/>
    <n v="2023"/>
  </r>
  <r>
    <s v="KBIMB202401501"/>
    <s v="PC130LC-10M0, BOOM, Pino, BROKEN, PINO DA LANÇA  "/>
    <s v="PC130LC-10M0"/>
    <s v="B20046"/>
    <x v="16"/>
    <s v="Pin wear"/>
    <s v="PINO DA LANÇA"/>
    <m/>
    <n v="5394"/>
    <s v="Closed"/>
    <d v="2023-12-12T00:00:00"/>
    <d v="2024-01-30T00:00:00"/>
    <d v="2022-04-20T00:00:00"/>
    <d v="2022-04-29T00:00:00"/>
    <s v="202-70-61160"/>
    <s v="Pino"/>
    <s v="BOOM"/>
    <s v="BROKEN"/>
    <s v="KDB (Plant) (51)"/>
    <m/>
    <s v="Completed"/>
    <d v="2024-01-03T00:00:00"/>
    <x v="3"/>
    <s v="KBI (9447)"/>
    <d v="2024-01-03T00:00:00"/>
    <s v="Equipamento testado e liberado."/>
    <s v="Whasterley Silva"/>
    <s v="213I"/>
    <n v="22"/>
    <s v="FY2023"/>
    <n v="2024"/>
  </r>
  <r>
    <s v="KBI1F202401503"/>
    <s v="PC130LC-10M0, AIR CONDITIONER, SUPORTE, FRACTURE, DEF. SOLDA DOBRADIÇA DO SUP. CONDENSADOR  "/>
    <s v="PC130LC-10M0"/>
    <s v="B20135"/>
    <x v="4"/>
    <s v="Condensor support crack"/>
    <s v="DEF. SOLDA DOBRADIÇA DO SUP. CONDENSADOR"/>
    <m/>
    <n v="1581"/>
    <s v="Closed"/>
    <d v="2023-08-22T00:00:00"/>
    <m/>
    <d v="2022-08-15T00:00:00"/>
    <d v="2022-12-16T00:00:00"/>
    <s v="204-03-72111"/>
    <s v="SUPORTE"/>
    <s v="AIR CONDITIONER"/>
    <s v="FRACTURE"/>
    <s v="KDB (Plant) (51)"/>
    <m/>
    <s v="Completed"/>
    <d v="2024-01-05T00:00:00"/>
    <x v="8"/>
    <s v="KBI (9447)"/>
    <d v="2024-01-05T00:00:00"/>
    <m/>
    <s v="Francinete Santos"/>
    <s v="2131F"/>
    <n v="136"/>
    <s v="FY2023"/>
    <n v="2024"/>
  </r>
  <r>
    <s v="KBIMB202401505"/>
    <s v="PC130LC-10M0, AIR CLEANER, Silencioso, ABNOMAL NOISE, Silencioso apresenta ruídos anormais  "/>
    <s v="PC130LC-10M0"/>
    <s v="B20214"/>
    <x v="13"/>
    <s v="Abnormal noise on muffler (before countermeasure)"/>
    <s v="Silencioso apresenta ruídos anormais"/>
    <s v="PC130LC-10M0, ENGINE ASSY, MUFFLER, ABNOMAL NOISE, ABNORMAL NOISE FROM THE EXHAUST MUFFLER  "/>
    <n v="495"/>
    <s v="Closed"/>
    <d v="2023-08-29T00:00:00"/>
    <d v="2023-12-07T00:00:00"/>
    <d v="2022-11-17T00:00:00"/>
    <d v="2023-05-09T00:00:00"/>
    <s v="6271-11-5230"/>
    <s v="Silencioso"/>
    <s v="AIR CLEANER"/>
    <s v="ABNOMAL NOISE"/>
    <s v="KDB (Plant) (51)"/>
    <m/>
    <s v="Completed"/>
    <d v="2024-01-09T00:00:00"/>
    <x v="3"/>
    <s v="KBI (9447)"/>
    <d v="2024-01-09T00:00:00"/>
    <s v="Equipamento testado e liberado."/>
    <s v="Whasterley Silva"/>
    <s v="213I"/>
    <n v="133"/>
    <s v="FY2023"/>
    <n v="2024"/>
  </r>
  <r>
    <s v="KBIRS202401501"/>
    <s v="PC130LC-10M0, OTHERS, CONTRAPESO, DEFECTIVE APPEARANCE, FALHA APARENTE NO CONTRAPESO  "/>
    <s v="PC130LC-10M0"/>
    <s v="B20362"/>
    <x v="24"/>
    <s v="Counterweight paiting"/>
    <s v="FALHA APARENTE NO CONTRAPESO"/>
    <m/>
    <n v="6"/>
    <s v="Plant.QA Approved"/>
    <d v="2024-01-05T00:00:00"/>
    <d v="2024-01-09T00:00:00"/>
    <d v="2023-11-10T00:00:00"/>
    <d v="1899-12-31T00:00:00"/>
    <s v="204-46-B1010"/>
    <s v="CONTRAPESO"/>
    <s v="OTHERS"/>
    <s v="DEFECTIVE APPEARANCE"/>
    <s v="KDB (Plant) (51)"/>
    <s v="KDB - Quality Assurance"/>
    <s v="In Process"/>
    <d v="2024-01-09T00:00:00"/>
    <x v="8"/>
    <s v="KBI (9447)"/>
    <d v="2024-01-09T00:00:00"/>
    <s v="PROBLEMA SOLUCIONADO."/>
    <s v="Gioge Seben"/>
    <s v="213RSC"/>
    <n v="4"/>
    <s v="FY2023"/>
    <n v="2024"/>
  </r>
  <r>
    <s v="KBISP202312526"/>
    <s v="PC130LC-10M0, ARM, PIN, DETERIORATION, DESGASTE REMATURO CONJUNTO PINO E BUCHAS  "/>
    <s v="PC130LC-10M0"/>
    <s v="B20316"/>
    <x v="14"/>
    <s v="Bushing and Pin wear"/>
    <s v="DESGASTE REMATURO CONJUNTO PINO E BUCHAS"/>
    <m/>
    <n v="399"/>
    <s v="Closed"/>
    <d v="2023-12-18T00:00:00"/>
    <m/>
    <d v="2023-08-10T00:00:00"/>
    <d v="2023-10-03T00:00:00"/>
    <s v="22B-70-22550"/>
    <s v="PIN"/>
    <s v="ARM"/>
    <s v="DETERIORATION"/>
    <s v="KDB (Plant) (51)"/>
    <m/>
    <s v="Completed"/>
    <d v="2023-12-18T00:00:00"/>
    <x v="5"/>
    <s v="KBI (9447)"/>
    <d v="2024-01-12T00:00:00"/>
    <s v="PRIMEIRA MÁQUINA KOMATSU DO CLIENTE"/>
    <s v="Caio Rodrigues"/>
    <s v="213ESD"/>
    <n v="25"/>
    <s v="FY2023"/>
    <n v="2024"/>
  </r>
  <r>
    <s v="KBIRS202401508"/>
    <s v="PC130LC-10M0, ELECTRICAL SYSTEM, SENSOR, DEFECTIVE ADJUSTMENT,   "/>
    <s v="PC130LC-10M0"/>
    <s v="B20323"/>
    <x v="8"/>
    <s v="Sensor"/>
    <m/>
    <m/>
    <n v="295"/>
    <s v="Closed"/>
    <d v="2024-01-09T00:00:00"/>
    <d v="2024-01-10T00:00:00"/>
    <d v="2023-09-13T00:00:00"/>
    <d v="2023-10-10T00:00:00"/>
    <s v="729-17-21000"/>
    <s v="SENSOR"/>
    <s v="ELECTRICAL SYSTEM"/>
    <s v="DEFECTIVE ADJUSTMENT"/>
    <s v="KDB (Plant) (51)"/>
    <m/>
    <s v="Completed"/>
    <d v="2024-01-19T00:00:00"/>
    <x v="8"/>
    <s v="KBI (9447)"/>
    <d v="2024-01-19T00:00:00"/>
    <m/>
    <s v="Gioge Seben"/>
    <s v="213RSC"/>
    <n v="10"/>
    <s v="FY2023"/>
    <n v="2024"/>
  </r>
  <r>
    <s v="KBIRS202401511"/>
    <s v="PC130LC-10M0, AIR CONDITIONER, SUPORTE CONDENSADOR, DEFORMATION, QUEBRA DO SUPORTE DO CONDENSADOR  "/>
    <s v="PC130LC-10M0"/>
    <s v="B20204"/>
    <x v="4"/>
    <s v="Condensor support crack"/>
    <s v="QUEBRA DO SUPORTE DO CONDENSADOR"/>
    <m/>
    <n v="868"/>
    <s v="Closed"/>
    <d v="2024-01-10T00:00:00"/>
    <d v="2024-01-22T00:00:00"/>
    <d v="2022-11-11T00:00:00"/>
    <d v="2023-03-06T00:00:00"/>
    <s v="204-03-72111"/>
    <s v="SUPORTE CONDENSADOR"/>
    <s v="AIR CONDITIONER"/>
    <s v="DEFORMATION"/>
    <s v="KDB (Plant) (51)"/>
    <m/>
    <s v="Completed"/>
    <d v="2024-01-31T00:00:00"/>
    <x v="8"/>
    <s v="KBI (9447)"/>
    <d v="2024-01-31T00:00:00"/>
    <m/>
    <s v="Gioge Seben"/>
    <s v="213RSC"/>
    <n v="21"/>
    <s v="FY2023"/>
    <n v="2024"/>
  </r>
  <r>
    <s v="KBISP202402503"/>
    <s v="PC130LC-10M0, TROLLEY SYSTEM UNIT, LINK, BROKEN,   "/>
    <s v="PC130LC-10M0"/>
    <s v="B20087"/>
    <x v="11"/>
    <s v="Track link break"/>
    <m/>
    <m/>
    <n v="1750"/>
    <s v="Plant.QA Approved"/>
    <d v="2023-12-14T00:00:00"/>
    <d v="2024-01-04T00:00:00"/>
    <d v="2022-06-13T00:00:00"/>
    <d v="2022-09-14T00:00:00"/>
    <s v="203-32-61130"/>
    <s v="LINK"/>
    <s v="TROLLEY SYSTEM UNIT"/>
    <s v="BROKEN"/>
    <s v="KDB (Plant) (51)"/>
    <s v="KDB - Quality Assurance"/>
    <s v="In Process"/>
    <d v="2024-02-02T00:00:00"/>
    <x v="5"/>
    <s v="KBI (9447)"/>
    <d v="2024-02-02T00:00:00"/>
    <m/>
    <s v="Paulo Dias"/>
    <s v="213SPA"/>
    <n v="50"/>
    <s v="FY2023"/>
    <n v="2024"/>
  </r>
  <r>
    <s v="KBIPE202402501"/>
    <s v="PC130LC-10M0, HYDRAULIC CONTROL VALVE, Cotovelo do comando de válvulas, DEFACTIVE PARTS,   "/>
    <s v="PC130LC-10M0"/>
    <s v="B20236"/>
    <x v="21"/>
    <s v="Elbow leak"/>
    <m/>
    <m/>
    <n v="1487"/>
    <s v="Sub.Confirmed Reply"/>
    <d v="2024-01-16T00:00:00"/>
    <m/>
    <d v="2023-02-03T00:00:00"/>
    <d v="2023-05-25T00:00:00"/>
    <s v="02783-10628"/>
    <s v="Cotovelo do comando de válvulas"/>
    <s v="HYDRAULIC CONTROL VALVE"/>
    <s v="DEFACTIVE PARTS"/>
    <s v="KDB (Plant) (51)"/>
    <s v="&lt;Rodrigo Ongaro Horvath&gt;"/>
    <s v="In Process"/>
    <d v="2024-02-09T00:00:00"/>
    <x v="2"/>
    <s v="KBI (9447)"/>
    <d v="2024-02-09T00:00:00"/>
    <m/>
    <s v="Adaias Santos"/>
    <s v="213BAB"/>
    <n v="24"/>
    <s v="FY2023"/>
    <n v="2024"/>
  </r>
  <r>
    <s v="KBI9A202402500"/>
    <s v="PC130LC-10M0, HST PUMP, RETENTOR, ENTER/LEAKS, Vazamento de óleo na bomba hidráulica.  "/>
    <s v="PC130LC-10M0"/>
    <s v="B20078"/>
    <x v="25"/>
    <s v="Hyd. Pump"/>
    <s v="Vazamento de óleo na bomba hidráulica."/>
    <m/>
    <n v="1764.3"/>
    <s v="Closed"/>
    <d v="2024-01-22T00:00:00"/>
    <d v="2024-01-30T00:00:00"/>
    <d v="2022-06-03T00:00:00"/>
    <d v="2022-09-09T00:00:00"/>
    <s v="708-2L-32470"/>
    <s v="RETENTOR"/>
    <s v="HST PUMP"/>
    <s v="ENTER/LEAKS"/>
    <s v="KDB (Plant) (51)"/>
    <m/>
    <s v="Completed"/>
    <d v="2024-02-14T00:00:00"/>
    <x v="4"/>
    <s v="KBI (9447)"/>
    <d v="2024-02-15T00:00:00"/>
    <s v="N/A"/>
    <s v="Julio Cesar Da Silva Pereira"/>
    <s v="213GOC"/>
    <n v="24"/>
    <s v="FY2023"/>
    <n v="2024"/>
  </r>
  <r>
    <s v="KBISP202402514"/>
    <s v="PC130LC-10M0, TRACK SHOE, CONJ DE ELOS, DETERIORATION, DESGASTE PREMATURO NO MATERIAL RODANTE  "/>
    <s v="PC130LC-10M0"/>
    <s v="B20247"/>
    <x v="11"/>
    <s v="Track link"/>
    <s v="DESGASTE PREMATURO NO MATERIAL RODANTE"/>
    <m/>
    <n v="1364"/>
    <s v="Sub.Submitted"/>
    <d v="2023-11-29T00:00:00"/>
    <d v="2024-02-07T00:00:00"/>
    <d v="2023-02-22T00:00:00"/>
    <d v="1899-12-31T00:00:00"/>
    <s v="203-32-00311"/>
    <s v="CONJ DE ELOS"/>
    <s v="TRACK SHOE"/>
    <s v="DETERIORATION"/>
    <s v="KDB (Plant) (51)"/>
    <s v="&lt;Rafael Nasser Manfredini&gt;"/>
    <s v="In Process"/>
    <d v="2024-02-16T00:00:00"/>
    <x v="5"/>
    <s v="KBI (9447)"/>
    <d v="2024-02-16T00:00:00"/>
    <m/>
    <s v="Paulo Dias"/>
    <s v="213SPA"/>
    <n v="79"/>
    <s v="FY2023"/>
    <n v="2024"/>
  </r>
  <r>
    <s v="KBI9A202402503"/>
    <s v="PC130LC-10M0, OTHERS, Conjunto da lâmpada, SERVICEABILITY, Faróis de trabalho opacos  "/>
    <s v="PC130LC-10M0"/>
    <s v="B20130"/>
    <x v="17"/>
    <s v="Headlight complain"/>
    <s v="Faróis de trabalho opacos"/>
    <m/>
    <n v="11"/>
    <s v="Plant.QA Approved"/>
    <d v="2024-02-16T00:00:00"/>
    <m/>
    <d v="2022-07-30T00:00:00"/>
    <d v="1899-12-31T00:00:00"/>
    <s v="2A8-06-11310"/>
    <s v="Conjunto da lâmpada"/>
    <s v="OTHERS"/>
    <s v="SERVICEABILITY"/>
    <s v="KDB (Plant) (51)"/>
    <s v="KDB - Quality Assurance"/>
    <s v="In Process"/>
    <d v="2024-02-19T00:00:00"/>
    <x v="4"/>
    <s v="KBI (9447)"/>
    <d v="2024-02-19T00:00:00"/>
    <m/>
    <s v="ISMAEL CRESTANI"/>
    <s v="213GOC"/>
    <n v="3"/>
    <s v="FY2023"/>
    <n v="2024"/>
  </r>
  <r>
    <s v="KBISP202402516"/>
    <s v="PC130LC-10M0, ENGINE ASSY, MUFFLER, MALFUNCTION, RUÍDO ANORMAL NO MIOLO DO SILENCIADOR  "/>
    <s v="PC130LC-10M0"/>
    <s v="B20109"/>
    <x v="13"/>
    <s v="Abnormal noise on muffler (before countermeasure)"/>
    <s v="RUÍDO ANORMAL NO MIOLO DO SILENCIADOR"/>
    <s v="PC130LC-10M0, ENGINE ASSY, MUFFLER, ABNOMAL NOISE, ABNORMAL NOISE FROM THE EXHAUST MUFFLER  "/>
    <n v="2130"/>
    <s v="Closed"/>
    <d v="2023-04-10T00:00:00"/>
    <d v="2024-02-22T00:00:00"/>
    <d v="2022-07-18T00:00:00"/>
    <d v="2022-10-27T00:00:00"/>
    <s v="6271-11-5230"/>
    <s v="MUFFLER"/>
    <s v="ENGINE ASSY"/>
    <s v="MALFUNCTION"/>
    <s v="KDB (Plant) (51)"/>
    <m/>
    <s v="Completed"/>
    <d v="2024-02-22T00:00:00"/>
    <x v="5"/>
    <s v="KBI (9447)"/>
    <d v="2024-02-22T00:00:00"/>
    <m/>
    <s v="Caio Rodrigues"/>
    <s v="213ESD"/>
    <n v="318"/>
    <s v="FY2023"/>
    <n v="2024"/>
  </r>
  <r>
    <s v="KBIMB202402513"/>
    <s v="PC130LC-10M0, OTHERS, BRACKET, BROKEN, Quebra dobradiça suporte do condensador  "/>
    <s v="PC130LC-10M0"/>
    <s v="B20215"/>
    <x v="4"/>
    <s v="Condensor support crack"/>
    <s v="Quebra dobradiça suporte do condensador"/>
    <m/>
    <n v="1459"/>
    <s v="Closed"/>
    <d v="2024-02-01T00:00:00"/>
    <d v="2024-02-15T00:00:00"/>
    <d v="2022-11-24T00:00:00"/>
    <d v="2023-06-28T00:00:00"/>
    <s v="204-03-72111"/>
    <s v="BRACKET"/>
    <s v="OTHERS"/>
    <s v="BROKEN"/>
    <s v="KDB (Plant) (51)"/>
    <m/>
    <s v="Completed"/>
    <d v="2024-02-28T00:00:00"/>
    <x v="3"/>
    <s v="KBI (9447)"/>
    <d v="2024-02-28T00:00:00"/>
    <m/>
    <s v="Higor Alves"/>
    <s v="213MGC"/>
    <n v="27"/>
    <s v="FY2023"/>
    <n v="2024"/>
  </r>
  <r>
    <s v="KBIMN202402501"/>
    <s v="PC130LC-10M0, BOOM, boom ASSEMBLY, CRACK, TRINCA NA BASE DE FIXAÇÃO DA CAÇAMBA  "/>
    <s v="PC130LC-10M0"/>
    <s v="B20203"/>
    <x v="7"/>
    <s v="Bucket crack"/>
    <s v="TRINCA NA BASE DE FIXAÇÃO DA CAÇAMBA"/>
    <m/>
    <n v="2205"/>
    <s v="Closed"/>
    <d v="2024-01-23T00:00:00"/>
    <m/>
    <d v="2022-11-11T00:00:00"/>
    <d v="1899-12-31T00:00:00"/>
    <s v="2A8-70-00030"/>
    <s v="boom ASSEMBLY"/>
    <s v="BOOM"/>
    <s v="CRACK"/>
    <s v="KDB (Plant) (51)"/>
    <m/>
    <s v="Completed"/>
    <d v="2024-02-29T00:00:00"/>
    <x v="7"/>
    <s v="KBI (9447)"/>
    <d v="2024-02-29T00:00:00"/>
    <m/>
    <s v="Ewelllin Borges"/>
    <s v="213PAE"/>
    <n v="37"/>
    <s v="FY2023"/>
    <n v="2024"/>
  </r>
  <r>
    <s v="KBISP202402518"/>
    <s v="PC130LC-10M0, AIR CONDITIONER, SUPORTE, BROKEN, QUEBRA DO SUPORTE DO CONDENSADOR  "/>
    <s v="PC130LC-10M0"/>
    <s v="B20180"/>
    <x v="4"/>
    <s v="Condensor support crack"/>
    <s v="QUEBRA DO SUPORTE DO CONDENSADOR"/>
    <m/>
    <n v="1444"/>
    <s v="Closed"/>
    <d v="2024-02-29T00:00:00"/>
    <m/>
    <d v="2022-10-14T00:00:00"/>
    <d v="2023-06-01T00:00:00"/>
    <s v="204-03-72111"/>
    <s v="SUPORTE"/>
    <s v="AIR CONDITIONER"/>
    <s v="BROKEN"/>
    <s v="KDB (Plant) (51)"/>
    <m/>
    <s v="Completed"/>
    <d v="2024-02-29T00:00:00"/>
    <x v="5"/>
    <s v="KBI (9447)"/>
    <d v="2024-02-29T00:00:00"/>
    <m/>
    <s v="Gabriel Bonifacio"/>
    <s v="213SPB"/>
    <n v="0"/>
    <s v="FY2023"/>
    <n v="2024"/>
  </r>
  <r>
    <s v="KBIPE202403501"/>
    <s v="PC130LC-10M0, ENGINE ASSY, MOTOR DIESEL, ABNOMAL NOISE, RUÍDOS ANORMAIS VINDO DO MOTOR  "/>
    <s v="PC130LC-10M0"/>
    <s v="B20134"/>
    <x v="10"/>
    <s v="Engine abnormal noise"/>
    <s v="RUÍDOS ANORMAIS VINDO DO MOTOR"/>
    <m/>
    <n v="1172"/>
    <s v="Closed"/>
    <d v="2024-03-06T00:00:00"/>
    <m/>
    <d v="2022-08-11T00:00:00"/>
    <d v="2022-09-01T00:00:00"/>
    <s v="SAA4D95LE-5BR"/>
    <s v="MOTOR DIESEL"/>
    <s v="ENGINE ASSY"/>
    <s v="ABNOMAL NOISE"/>
    <s v="KDB (Plant) (51)"/>
    <m/>
    <s v="Completed"/>
    <d v="2024-03-06T00:00:00"/>
    <x v="2"/>
    <s v="KBI (9447)"/>
    <d v="2024-03-06T00:00:00"/>
    <m/>
    <s v="Adaias Santos"/>
    <s v="213BAB"/>
    <n v="0"/>
    <s v="FY2023"/>
    <n v="2024"/>
  </r>
  <r>
    <s v="KBISP202403503"/>
    <s v="PC130LC-10M0, ACCESSORY &amp; PARTS, PLATE, DEFORMATION, DEFORMAÇÃO NA PLACA DE FIX. CIL. LANÇA  "/>
    <s v="PC130LC-10M0"/>
    <s v="B20315"/>
    <x v="26"/>
    <s v="Boom cylinder cover"/>
    <s v="DEFORMAÇÃO NA PLACA DE FIX. CIL. LANÇA"/>
    <m/>
    <n v="564"/>
    <s v="Closed"/>
    <d v="2024-01-08T00:00:00"/>
    <m/>
    <d v="2023-08-11T00:00:00"/>
    <d v="2023-09-29T00:00:00"/>
    <s v="22B-70-21920"/>
    <s v="PLATE"/>
    <s v="ACCESSORY &amp; PARTS"/>
    <s v="DEFORMATION"/>
    <s v="KDB (Plant) (51)"/>
    <m/>
    <s v="Completed"/>
    <d v="2024-03-08T00:00:00"/>
    <x v="5"/>
    <s v="KBI (9447)"/>
    <d v="2024-03-08T00:00:00"/>
    <m/>
    <s v="Paulo Dias"/>
    <s v="213SPA"/>
    <n v="60"/>
    <s v="FY2023"/>
    <n v="2024"/>
  </r>
  <r>
    <s v="KBIRS202403501"/>
    <s v="PC130LC-10M0, ACCESSORY &amp; PARTS, PINTURA EM GERAL, WEAR/RUST/SCRATCHED(SURFACE), FALHA NA PINTURA  "/>
    <s v="PC130LC-10M0"/>
    <s v="B20193"/>
    <x v="1"/>
    <s v="Painting"/>
    <s v="FALHA NA PINTURA"/>
    <m/>
    <n v="251"/>
    <s v="Closed"/>
    <d v="2024-02-27T00:00:00"/>
    <m/>
    <d v="2022-10-26T00:00:00"/>
    <d v="2023-01-23T00:00:00"/>
    <s v="1"/>
    <s v="PINTURA EM GERAL"/>
    <s v="ACCESSORY &amp; PARTS"/>
    <s v="WEAR/RUST/SCRATCHED(SURFACE)"/>
    <s v="KDB (Plant) (51)"/>
    <m/>
    <s v="Completed"/>
    <d v="2024-03-12T00:00:00"/>
    <x v="8"/>
    <s v="KBI (9447)"/>
    <d v="2024-03-12T00:00:00"/>
    <m/>
    <s v="Gioge Seben"/>
    <s v="213RSC"/>
    <n v="14"/>
    <s v="FY2023"/>
    <n v="2024"/>
  </r>
  <r>
    <s v="KBISP202403508"/>
    <s v="PC130LC-10M0, ENGINE ASSY, MUFFLER, ABNOMAL NOISE, RUÍDO ANORMAL NO MIOLO DO SILENCIADOR  "/>
    <s v="PC130LC-10M0"/>
    <s v="B20162"/>
    <x v="13"/>
    <s v="Abnormal noise on muffler (before countermeasure)"/>
    <s v="RUÍDO ANORMAL NO MIOLO DO SILENCIADOR"/>
    <m/>
    <n v="2083"/>
    <s v="Closed"/>
    <d v="2023-08-08T00:00:00"/>
    <m/>
    <d v="2022-09-26T00:00:00"/>
    <d v="2022-10-27T00:00:00"/>
    <s v="6271-11-5230"/>
    <s v="MUFFLER"/>
    <s v="ENGINE ASSY"/>
    <s v="ABNOMAL NOISE"/>
    <s v="KDB (Plant) (51)"/>
    <m/>
    <s v="Completed"/>
    <d v="2024-03-14T00:00:00"/>
    <x v="5"/>
    <s v="KBI (9447)"/>
    <d v="2024-03-14T00:00:00"/>
    <m/>
    <s v="Caio Rodrigues"/>
    <s v="213ESD"/>
    <n v="219"/>
    <s v="FY2023"/>
    <n v="2024"/>
  </r>
  <r>
    <s v="KBISP202403518"/>
    <s v="PC130LC-10M0, BATTERY, Bateria, MALFUNCTION, BAIXA CARGA DE BATERIA  "/>
    <s v="PC130LC-10M0"/>
    <s v="B20180"/>
    <x v="27"/>
    <s v="Battery"/>
    <s v="BAIXA CARGA DE BATERIA"/>
    <m/>
    <n v="1455"/>
    <s v="Closed"/>
    <d v="2024-03-08T00:00:00"/>
    <m/>
    <d v="2022-10-14T00:00:00"/>
    <d v="2023-06-01T00:00:00"/>
    <s v="21K-06-B7160"/>
    <s v="Bateria"/>
    <s v="BATTERY"/>
    <s v="MALFUNCTION"/>
    <s v="KDB (Plant) (51)"/>
    <m/>
    <s v="Completed"/>
    <d v="2024-03-15T00:00:00"/>
    <x v="5"/>
    <s v="KBI (9447)"/>
    <d v="2024-03-15T00:00:00"/>
    <m/>
    <s v="Gabriel Bonifacio"/>
    <s v="213SPB"/>
    <n v="7"/>
    <s v="FY2023"/>
    <n v="2024"/>
  </r>
  <r>
    <s v="KBISP202403519"/>
    <s v="PC130LC-10M0, ACCESSORY &amp; PARTS, HAMMER, WRONG/MISSING PART,   "/>
    <s v="PC130LC-10M0"/>
    <s v="B20391"/>
    <x v="17"/>
    <s v="Missing part"/>
    <m/>
    <m/>
    <n v="4.2"/>
    <s v="Plant.QA Approved"/>
    <d v="2024-03-04T00:00:00"/>
    <d v="2024-03-18T00:00:00"/>
    <d v="2024-02-26T00:00:00"/>
    <d v="1899-12-31T00:00:00"/>
    <s v="22B-54-17380"/>
    <s v="HAMMER"/>
    <s v="ACCESSORY &amp; PARTS"/>
    <s v="WRONG/MISSING PART"/>
    <s v="KDB (Plant) (51)"/>
    <s v="KDB - Quality Assurance"/>
    <s v="In Process"/>
    <d v="2024-03-18T00:00:00"/>
    <x v="5"/>
    <s v="KBI (9447)"/>
    <d v="2024-03-18T00:00:00"/>
    <m/>
    <s v="Caio Rodrigues"/>
    <s v="213ESD"/>
    <n v="14"/>
    <s v="FY2023"/>
    <n v="2024"/>
  </r>
  <r>
    <s v="KBIPR202403512"/>
    <s v="PC130LC-10M0, ACCESSORY &amp; PARTS, PARAFUSOS, DEFECTIVE ADJUSTMENT, CONJUNTO DO MOTOR DE GIRO COM PARAFUSOS  "/>
    <s v="PC130LC-10M0"/>
    <s v="B20227"/>
    <x v="28"/>
    <s v="Swing motor bolts loosen"/>
    <s v="CONJUNTO DO MOTOR DE GIRO COM PARAFUSOS"/>
    <m/>
    <n v="1208"/>
    <s v="Plant.QA Approved"/>
    <d v="2024-02-23T00:00:00"/>
    <d v="2024-03-01T00:00:00"/>
    <d v="2022-12-06T00:00:00"/>
    <d v="2023-04-20T00:00:00"/>
    <s v="203-26-13170"/>
    <s v="PARAFUSOS"/>
    <s v="ACCESSORY &amp; PARTS"/>
    <s v="DEFECTIVE ADJUSTMENT"/>
    <s v="KDB (Plant) (51)"/>
    <s v="KDB - Quality Assurance"/>
    <s v="In Process"/>
    <d v="2024-03-22T00:00:00"/>
    <x v="1"/>
    <s v="KBI (9447)"/>
    <d v="2024-03-22T00:00:00"/>
    <s v="Após reinstalado o conjunto e realizado a montagem e usado o torque recomendado, foi testado e colocado o equipamento para para trabalhar. Onde trabalhou normalmente sem nenhum problema aparente."/>
    <s v="Neia Sene"/>
    <s v="213PRB"/>
    <n v="28"/>
    <s v="FY2023"/>
    <n v="2024"/>
  </r>
  <r>
    <s v="KBIPR202403515"/>
    <s v="PC130LC-10M0, ARM, lança, BROKEN, BRAÇO RACHADO NA SOLDA  "/>
    <s v="PC130LC-10M0"/>
    <s v="B20227"/>
    <x v="14"/>
    <s v="Arm crack - AB25018 - FCB25016"/>
    <s v="BRAÇO RACHADO NA SOLDA"/>
    <m/>
    <n v="1320"/>
    <s v="Sub.Confirmed Reply"/>
    <d v="2024-03-19T00:00:00"/>
    <m/>
    <d v="2022-12-06T00:00:00"/>
    <d v="2023-04-20T00:00:00"/>
    <s v="20Y-70-B1000"/>
    <s v="lança"/>
    <s v="ARM"/>
    <s v="BROKEN"/>
    <s v="KDB (Plant) (51)"/>
    <s v="&lt;Rodrigo Ongaro Horvath&gt;"/>
    <s v="In Process"/>
    <d v="2024-03-25T00:00:00"/>
    <x v="1"/>
    <s v="KBI (9447)"/>
    <d v="2024-03-25T00:00:00"/>
    <s v="O equipamento ainda esta no período de garantia, mas ainda sim preferimos esperar o retorno da fabrica para nos orientar sobre a correção da falha. Já que não identificamos nada que possa ter contribuído para essas trincas na solda, e o equipamento opera aproximadamente 84% em trabalho leve e muito leve conforme o mapa de carga aponta."/>
    <s v="Neia Sene"/>
    <s v="213PRB"/>
    <n v="6"/>
    <s v="FY2023"/>
    <n v="2024"/>
  </r>
  <r>
    <s v="KBIPR202403517"/>
    <s v="PC130LC-10M0, ACCESSORY &amp; PARTS, CONTROLADORA DO MOTOR, MALFUNCTION, COD. DWK2KA E DWK2KB - CONTROL. DA BOMBA  "/>
    <s v="PC130LC-10M0"/>
    <s v="B20178"/>
    <x v="9"/>
    <s v="Engine controller"/>
    <s v="COD. DWK2KA E DWK2KB - CONTROL. DA BOMBA"/>
    <m/>
    <n v="607"/>
    <s v="Closed"/>
    <d v="2024-02-10T00:00:00"/>
    <m/>
    <d v="2022-10-14T00:00:00"/>
    <d v="2023-01-11T00:00:00"/>
    <s v="7835-51-4001"/>
    <s v="CONTROLADORA DO MOTOR"/>
    <s v="ACCESSORY &amp; PARTS"/>
    <s v="MALFUNCTION"/>
    <s v="KDB (Plant) (51)"/>
    <m/>
    <s v="Completed"/>
    <d v="2024-03-27T00:00:00"/>
    <x v="1"/>
    <s v="KBI (9447)"/>
    <d v="2024-03-28T00:00:00"/>
    <s v="Cliente não possuí MMK, mas realiza revisões SPOT conosco. Solicitamos orientação da fábrica pois o equipamento esta for a da garantia padrão, porem esta com o horímetro baixo para apresentar um possível problema na controladora. Diante desse fato pedimos para nos orientar em como estar resolvendo essa falha para resolver o problema junto ao cliente que demonstra muita preocupação pelo fato para ele a maquina ainda ser nova."/>
    <s v="Neia Sene"/>
    <s v="213PRB"/>
    <n v="47"/>
    <s v="FY2023"/>
    <n v="2024"/>
  </r>
  <r>
    <s v="KBISP202404504"/>
    <s v="PC130LC-10M0, ENGINE ASSY, MUFFLER, ABNOMAL NOISE, RUÍDO ANORMAL NO MIOLO DO SILENCIADOR  "/>
    <s v="PC130LC-10M0"/>
    <s v="B20283"/>
    <x v="13"/>
    <s v="Abnormal noise on muffler (before countermeasure)"/>
    <s v="RUÍDO ANORMAL NO MIOLO DO SILENCIADOR"/>
    <s v="PC130LC-10M0, ENGINE ASSY, MUFFLER, ABNOMAL NOISE, ABNORMAL NOISE FROM THE EXHAUST MUFFLER  "/>
    <n v="1000"/>
    <s v="Closed"/>
    <d v="2024-04-12T00:00:00"/>
    <m/>
    <d v="2023-06-30T00:00:00"/>
    <d v="2023-09-05T00:00:00"/>
    <s v="6271-11-5230"/>
    <s v="MUFFLER"/>
    <s v="ENGINE ASSY"/>
    <s v="ABNOMAL NOISE"/>
    <s v="KDB (Plant) (51)"/>
    <m/>
    <s v="Completed"/>
    <d v="2024-04-12T00:00:00"/>
    <x v="5"/>
    <s v="KBI (9447)"/>
    <d v="2024-04-12T00:00:00"/>
    <m/>
    <s v="Caio Rodrigues"/>
    <s v="213ESD"/>
    <n v="0"/>
    <s v="FY2024"/>
    <n v="2024"/>
  </r>
  <r>
    <s v="KBIRS202404503"/>
    <s v="PC130LC-10M0, HYDRAULIC CONTROL VALVE, DISCO DE FREIO, MALFUNCTION, FALHA NO FREIO DO MOTOR DE GIRO  "/>
    <s v="PC130LC-10M0"/>
    <s v="B20163"/>
    <x v="28"/>
    <s v="Swing motor brake"/>
    <s v="FALHA NO FREIO DO MOTOR DE GIRO"/>
    <m/>
    <n v="1499"/>
    <s v="Closed"/>
    <d v="2024-02-15T00:00:00"/>
    <d v="2024-04-08T00:00:00"/>
    <d v="2022-09-26T00:00:00"/>
    <d v="2022-12-20T00:00:00"/>
    <s v="706-7C-91220"/>
    <s v="DISCO DE FREIO"/>
    <s v="HYDRAULIC CONTROL VALVE"/>
    <s v="MALFUNCTION"/>
    <s v="KDB (Plant) (51)"/>
    <m/>
    <s v="Completed"/>
    <d v="2024-04-15T00:00:00"/>
    <x v="8"/>
    <s v="KBI (9447)"/>
    <d v="2024-04-15T00:00:00"/>
    <m/>
    <s v="Gioge Seben"/>
    <s v="213RSC"/>
    <n v="60"/>
    <s v="FY2024"/>
    <n v="2024"/>
  </r>
  <r>
    <s v="KBISP202404505"/>
    <s v="PC130LC-10M0, ARM, Braço, ENTER/LEAKS, Trinca na solda base do pino do cilindro  "/>
    <s v="PC130LC-10M0"/>
    <s v="B20288"/>
    <x v="2"/>
    <s v="Arm cylinder crack"/>
    <s v="Trinca na solda base do pino do cilindro"/>
    <s v="PC130LC-10M0, ARM, Braço, ENTER/LEAKS,   "/>
    <n v="1158"/>
    <s v="Plant.QA Approved"/>
    <d v="2024-04-18T00:00:00"/>
    <m/>
    <d v="2023-07-13T00:00:00"/>
    <d v="2023-09-14T00:00:00"/>
    <s v="204-70-00480"/>
    <s v="Braço"/>
    <s v="ARM"/>
    <s v="ENTER/LEAKS"/>
    <s v="KDB (Plant) (51)"/>
    <s v="KDB - Quality Assurance"/>
    <s v="In Process"/>
    <d v="2024-04-19T00:00:00"/>
    <x v="5"/>
    <s v="KBI (9447)"/>
    <d v="2024-04-19T00:00:00"/>
    <s v="Please, we need to investigate this failure that occurred in the machine that was introduced within 1 year in the market."/>
    <s v="Gabriel Bonifacio"/>
    <s v="213SPB"/>
    <n v="1"/>
    <s v="FY2024"/>
    <n v="2024"/>
  </r>
  <r>
    <s v="KBIPE202404501"/>
    <s v="PC130LC-10M0, ACCESSORY &amp; PARTS, Dobradica grade condesador, DEFECTIVE ADJUSTMENT,   "/>
    <s v="PC130LC-10M0"/>
    <s v="B20268"/>
    <x v="4"/>
    <s v="Condensor support crack"/>
    <m/>
    <m/>
    <n v="357"/>
    <s v="Closed"/>
    <d v="2024-04-18T00:00:00"/>
    <m/>
    <d v="2023-06-13T00:00:00"/>
    <d v="1899-12-31T00:00:00"/>
    <s v="198-06-62820"/>
    <s v="Dobradica grade condesador"/>
    <s v="ACCESSORY &amp; PARTS"/>
    <s v="DEFECTIVE ADJUSTMENT"/>
    <s v="KDB (Plant) (51)"/>
    <m/>
    <s v="Completed"/>
    <d v="2024-04-24T00:00:00"/>
    <x v="2"/>
    <s v="KBI (9447)"/>
    <d v="2024-04-24T00:00:00"/>
    <s v="NAO IDENTIFICAMOS ACAO POR AGENTE EXTERNO QUE PUDESSE OCASIONAR EMPENO OU DADO NAS DOBRADICAS. NOS LEVANDO A ENTEDER QUE E UMA FALHA NO PRODUTO"/>
    <s v="Marcos Santos"/>
    <s v="213BAB"/>
    <n v="6"/>
    <s v="FY2024"/>
    <n v="2024"/>
  </r>
  <r>
    <s v="KBISP202404507"/>
    <s v="PC130LC-10M0, BOOM, PLATE, DEFORMATION,   "/>
    <s v="PC130LC-10M0"/>
    <s v="B20325"/>
    <x v="26"/>
    <s v="Boom cylinder cover"/>
    <m/>
    <m/>
    <n v="189"/>
    <s v="Closed"/>
    <d v="2024-02-27T00:00:00"/>
    <d v="2024-03-26T00:00:00"/>
    <d v="2023-09-19T00:00:00"/>
    <d v="1899-12-31T00:00:00"/>
    <s v="22B-70-21920"/>
    <s v="PLATE"/>
    <s v="BOOM"/>
    <s v="DEFORMATION"/>
    <s v="KDB (Plant) (51)"/>
    <m/>
    <s v="Completed"/>
    <d v="2024-04-26T00:00:00"/>
    <x v="5"/>
    <s v="KBI (9447)"/>
    <d v="2024-04-26T00:00:00"/>
    <m/>
    <s v="Paulo Dias"/>
    <s v="213SPA"/>
    <n v="59"/>
    <s v="FY2024"/>
    <n v="2024"/>
  </r>
  <r>
    <s v="KBIMB202404512"/>
    <s v="PC130LC-10M0, ACCESSORY &amp; PARTS, silencioso, ABNOMAL NOISE, Silencioso assoviando  "/>
    <s v="PC130LC-10M0"/>
    <s v="B20210"/>
    <x v="13"/>
    <s v="Abnormal noise on muffler (before countermeasure)"/>
    <s v="Silencioso assoviando"/>
    <m/>
    <n v="1649"/>
    <s v="Closed"/>
    <d v="2024-01-26T00:00:00"/>
    <m/>
    <d v="2022-11-16T00:00:00"/>
    <d v="2023-04-03T00:00:00"/>
    <s v="6271-11-5230"/>
    <s v="silencioso"/>
    <s v="ACCESSORY &amp; PARTS"/>
    <s v="ABNOMAL NOISE"/>
    <s v="KDB (Plant) (51)"/>
    <m/>
    <s v="Completed"/>
    <d v="2024-04-30T00:00:00"/>
    <x v="3"/>
    <s v="KBI (9447)"/>
    <d v="2024-04-30T00:00:00"/>
    <s v="Equipamento testado e liberado para operação."/>
    <s v="Whasterley Silva"/>
    <s v="213I"/>
    <n v="95"/>
    <s v="FY2024"/>
    <n v="2024"/>
  </r>
  <r>
    <s v="KBIMB202404513"/>
    <s v="PC130LC-10M0, TRACK ROLLER, ROLETE INFERIOR LD, MALFUNCTION, Rolete inferior travando  "/>
    <s v="PC130LC-10M0"/>
    <s v="B20210"/>
    <x v="29"/>
    <s v="Track roller break / leak"/>
    <s v="Rolete inferior travando"/>
    <m/>
    <n v="1649"/>
    <s v="Closed"/>
    <d v="2024-01-26T00:00:00"/>
    <m/>
    <d v="2022-11-16T00:00:00"/>
    <d v="2023-04-03T00:00:00"/>
    <s v="22B-30-00412"/>
    <s v="ROLETE INFERIOR LD"/>
    <s v="TRACK ROLLER"/>
    <s v="MALFUNCTION"/>
    <s v="KDB (Plant) (51)"/>
    <m/>
    <s v="Completed"/>
    <d v="2024-04-30T00:00:00"/>
    <x v="3"/>
    <s v="KBI (9447)"/>
    <d v="2024-04-30T00:00:00"/>
    <s v="Equipamento testado e liberado para operação."/>
    <s v="Whasterley Silva"/>
    <s v="213I"/>
    <n v="95"/>
    <s v="FY2024"/>
    <n v="2024"/>
  </r>
  <r>
    <s v="KBISP202404511"/>
    <s v="PC130LC-10M0, IDLER, support, DEFECTIVE ADJUSTMENT,   "/>
    <s v="PC130LC-10M0"/>
    <s v="B20291"/>
    <x v="18"/>
    <s v="Front idler clearance"/>
    <m/>
    <m/>
    <n v="1030"/>
    <s v="Closed"/>
    <d v="2024-04-30T00:00:00"/>
    <m/>
    <d v="2023-07-14T00:00:00"/>
    <d v="2023-09-05T00:00:00"/>
    <s v="203-30-52112"/>
    <s v="support"/>
    <s v="IDLER"/>
    <s v="DEFECTIVE ADJUSTMENT"/>
    <s v="KDB (Plant) (51)"/>
    <m/>
    <s v="Completed"/>
    <d v="2024-04-30T00:00:00"/>
    <x v="5"/>
    <s v="KBI (9447)"/>
    <d v="2024-04-30T00:00:00"/>
    <s v="PRIMEIRA MÁQUINA DO CLIENTE"/>
    <s v="Caio Rodrigues"/>
    <s v="213ESD"/>
    <n v="0"/>
    <s v="FY2024"/>
    <n v="2024"/>
  </r>
  <r>
    <s v="KBISP202405501"/>
    <s v="PC130LC-10M0, BUCKET(H/E BACKHOE), LINK, WEAR/RUST/SCRATCHED(SURFACE),   "/>
    <s v="PC130LC-10M0"/>
    <s v="B20293"/>
    <x v="7"/>
    <s v="Bucket clearance"/>
    <m/>
    <s v="PC130LC-10M0, BUCKET(H/E BACKHOE), LINK, WEAR/RUST/SCRATCHED(SURFACE), INTERFERENCE  "/>
    <n v="255"/>
    <s v="Closed"/>
    <d v="2024-04-29T00:00:00"/>
    <m/>
    <d v="2023-07-18T00:00:00"/>
    <d v="2023-09-25T00:00:00"/>
    <s v="203-70-54110"/>
    <s v="LINK"/>
    <s v="BUCKET(H/E BACKHOE)"/>
    <s v="WEAR/RUST/SCRATCHED(SURFACE)"/>
    <s v="KDB (Plant) (51)"/>
    <m/>
    <s v="Completed"/>
    <d v="2024-05-06T00:00:00"/>
    <x v="5"/>
    <s v="KBI (9447)"/>
    <d v="2024-05-06T00:00:00"/>
    <m/>
    <s v="Paulo Dias"/>
    <s v="213SPA"/>
    <n v="7"/>
    <s v="FY2024"/>
    <n v="2024"/>
  </r>
  <r>
    <s v="KBISP202405502"/>
    <s v="PC130LC-10M0, FINAL DRIVE, Sprocket, OPERATIONAL COMPLAINT,   "/>
    <s v="PC130LC-10M0"/>
    <s v="B20293"/>
    <x v="11"/>
    <s v="Track abnormal noise"/>
    <m/>
    <m/>
    <n v="255"/>
    <s v="Closed"/>
    <d v="2024-04-29T00:00:00"/>
    <m/>
    <d v="2023-07-18T00:00:00"/>
    <d v="2023-09-25T00:00:00"/>
    <s v="2A3-27-11310"/>
    <s v="Sprocket"/>
    <s v="FINAL DRIVE"/>
    <s v="OPERATIONAL COMPLAINT"/>
    <s v="KDB (Plant) (51)"/>
    <m/>
    <s v="Completed"/>
    <d v="2024-05-06T00:00:00"/>
    <x v="5"/>
    <s v="KBI (9447)"/>
    <d v="2024-05-06T00:00:00"/>
    <m/>
    <s v="Paulo Dias"/>
    <s v="213SPA"/>
    <n v="7"/>
    <s v="FY2024"/>
    <n v="2024"/>
  </r>
  <r>
    <s v="KBISP202405503"/>
    <s v="PC130LC-10M0, BUCKET(H/E BACKHOE), LIMK, WEAR/RUST/SCRATCHED(SURFACE),   "/>
    <s v="PC130LC-10M0"/>
    <s v="B20393"/>
    <x v="7"/>
    <s v="Bucket clearance"/>
    <m/>
    <s v="PC130LC-10M0, BUCKET(H/E BACKHOE), LINK, WEAR/RUST/SCRATCHED(SURFACE), INTERFERENCE  "/>
    <n v="4"/>
    <s v="Closed"/>
    <d v="2024-04-11T00:00:00"/>
    <m/>
    <d v="2024-02-26T00:00:00"/>
    <d v="1899-12-31T00:00:00"/>
    <s v="203-70-54110"/>
    <s v="LIMK"/>
    <s v="BUCKET(H/E BACKHOE)"/>
    <s v="WEAR/RUST/SCRATCHED(SURFACE)"/>
    <s v="KDB (Plant) (51)"/>
    <m/>
    <s v="Completed"/>
    <d v="2024-05-06T00:00:00"/>
    <x v="5"/>
    <s v="KBI (9447)"/>
    <d v="2024-05-06T00:00:00"/>
    <m/>
    <s v="Paulo Dias"/>
    <s v="213SPA"/>
    <n v="25"/>
    <s v="FY2024"/>
    <n v="2024"/>
  </r>
  <r>
    <s v="KBIPE202405500"/>
    <s v="PC130LC-10M0, OTHERS, DOBRADIÇA, DEFECTIVE ADJUSTMENT, DESGASTE NA DOBRADIÇA DO SUP. DO CONDENS  "/>
    <s v="PC130LC-10M0"/>
    <s v="B20268"/>
    <x v="4"/>
    <s v="Condensor support crack"/>
    <s v="DESGASTE NA DOBRADIÇA DO SUP. DO CONDENS"/>
    <m/>
    <n v="357"/>
    <s v="Closed"/>
    <d v="2024-05-20T00:00:00"/>
    <m/>
    <d v="2023-06-13T00:00:00"/>
    <d v="1899-12-31T00:00:00"/>
    <s v="198-06-62820"/>
    <s v="DOBRADIÇA"/>
    <s v="OTHERS"/>
    <s v="DEFECTIVE ADJUSTMENT"/>
    <s v="KDB (Plant) (51)"/>
    <m/>
    <s v="Completed"/>
    <d v="2024-05-21T00:00:00"/>
    <x v="2"/>
    <s v="KBI (9447)"/>
    <d v="2024-05-21T00:00:00"/>
    <m/>
    <s v="Marcos Santos"/>
    <s v="213BAB"/>
    <n v="1"/>
    <s v="FY2024"/>
    <n v="2024"/>
  </r>
  <r>
    <s v="KBISP202312527"/>
    <s v="PC130LC-10M0, ACCESSORY &amp; PARTS, PIN, SCORED,   "/>
    <s v="PC130LC-10M0"/>
    <s v="B20306"/>
    <x v="14"/>
    <s v="Bushing and Pin wear"/>
    <m/>
    <m/>
    <n v="1016"/>
    <s v="Closed"/>
    <d v="2023-12-18T00:00:00"/>
    <m/>
    <d v="2023-08-01T00:00:00"/>
    <d v="2023-09-11T00:00:00"/>
    <s v="22B-70-22550"/>
    <s v="PIN"/>
    <s v="ACCESSORY &amp; PARTS"/>
    <s v="SCORED"/>
    <s v="KDB (Plant) (51)"/>
    <m/>
    <s v="Completed"/>
    <d v="2023-12-18T00:00:00"/>
    <x v="5"/>
    <s v="KBI (9447)"/>
    <d v="2024-05-21T00:00:00"/>
    <s v="PRIMEIRA MÁQUINA DO CLIENTE"/>
    <s v="Caio Rodrigues"/>
    <s v="213ESD"/>
    <n v="155"/>
    <s v="FY2024"/>
    <n v="2024"/>
  </r>
  <r>
    <s v="KBISP202405512"/>
    <s v="PC130LC-10M0, ACCESSORY &amp; PARTS, MUFFLER, MALFUNCTION, FOLGA INTERNA NO MIOLO DO MUFFLER  "/>
    <s v="PC130LC-10M0"/>
    <s v="B20336"/>
    <x v="13"/>
    <s v="Abnormal noise on muffler (before countermeasure)"/>
    <s v="FOLGA INTERNA NO MIOLO DO MUFFLER"/>
    <m/>
    <n v="664"/>
    <s v="Closed"/>
    <d v="2024-05-21T00:00:00"/>
    <m/>
    <d v="2023-09-26T00:00:00"/>
    <d v="1899-12-31T00:00:00"/>
    <s v="6271-11-5230"/>
    <s v="MUFFLER"/>
    <s v="ACCESSORY &amp; PARTS"/>
    <s v="MALFUNCTION"/>
    <s v="KDB (Plant) (51)"/>
    <m/>
    <s v="Completed"/>
    <d v="2024-05-21T00:00:00"/>
    <x v="5"/>
    <s v="KBI (9447)"/>
    <d v="2024-05-21T00:00:00"/>
    <m/>
    <s v="Caio Rodrigues"/>
    <s v="213ESD"/>
    <n v="0"/>
    <s v="FY2024"/>
    <n v="2024"/>
  </r>
  <r>
    <s v="KBISP202406505"/>
    <s v="PC130LC-10M0, CAB ASS'Y GROUP, COXIM, MALFUNCTION,   "/>
    <s v="PC130LC-10M0"/>
    <s v="B20411"/>
    <x v="12"/>
    <s v="Cab cushion"/>
    <m/>
    <m/>
    <n v="7"/>
    <s v="Plant.QA Approved"/>
    <d v="2024-05-10T00:00:00"/>
    <d v="2024-05-10T00:00:00"/>
    <d v="2024-03-28T00:00:00"/>
    <d v="1899-12-31T00:00:00"/>
    <s v="20Y-53-13113"/>
    <s v="COXIM"/>
    <s v="CAB ASS'Y GROUP"/>
    <s v="MALFUNCTION"/>
    <s v="KDB (Plant) (51)"/>
    <s v="KDB - Quality Assurance"/>
    <s v="In Process"/>
    <d v="2024-06-04T00:00:00"/>
    <x v="5"/>
    <s v="KBI (9447)"/>
    <d v="2024-06-04T00:00:00"/>
    <m/>
    <s v="Paulo Dias"/>
    <s v="213SPA"/>
    <n v="25"/>
    <s v="FY2024"/>
    <n v="2024"/>
  </r>
  <r>
    <s v="KBI1F202406503"/>
    <s v="PC130LC-10M0, ACCESSORY &amp; PARTS, PLACA, LOOSEN, PLACA DE FIXAÇÃO CILINDRO DA LANÇA  "/>
    <s v="PC130LC-10M0"/>
    <s v="B20323"/>
    <x v="26"/>
    <s v="Boom cylinder cover"/>
    <s v="PLACA DE FIXAÇÃO CILINDRO DA LANÇA"/>
    <m/>
    <n v="771"/>
    <s v="Closed"/>
    <d v="2024-04-30T00:00:00"/>
    <d v="2024-05-15T00:00:00"/>
    <d v="2023-09-13T00:00:00"/>
    <d v="2023-10-10T00:00:00"/>
    <s v="22B-70-21910"/>
    <s v="PLACA"/>
    <s v="ACCESSORY &amp; PARTS"/>
    <s v="LOOSEN"/>
    <s v="KDB (Plant) (51)"/>
    <m/>
    <s v="Completed"/>
    <d v="2024-06-05T00:00:00"/>
    <x v="8"/>
    <s v="KBI (9447)"/>
    <d v="2024-06-05T00:00:00"/>
    <m/>
    <s v="Franciele Ferreira"/>
    <s v="213RSC"/>
    <n v="36"/>
    <s v="FY2024"/>
    <n v="2024"/>
  </r>
  <r>
    <s v="KBISP202312525"/>
    <s v="PC130LC-10M0, ACCESSORY &amp; PARTS, PIN, WEAR/RUST/SCRATCHED(SURFACE),   "/>
    <s v="PC130LC-10M0"/>
    <s v="B20283"/>
    <x v="14"/>
    <s v="Pin wear"/>
    <m/>
    <m/>
    <n v="586"/>
    <s v="Closed"/>
    <d v="2024-01-16T00:00:00"/>
    <m/>
    <d v="2023-06-30T00:00:00"/>
    <d v="2023-09-05T00:00:00"/>
    <s v="22B-70-2255"/>
    <s v="PIN"/>
    <s v="ACCESSORY &amp; PARTS"/>
    <s v="WEAR/RUST/SCRATCHED(SURFACE)"/>
    <s v="KDB (Plant) (51)"/>
    <m/>
    <s v="Completed"/>
    <d v="2023-12-18T00:00:00"/>
    <x v="5"/>
    <s v="KBI (9447)"/>
    <d v="2024-06-05T00:00:00"/>
    <s v="PRIMEIRA DATA DO CLIENTE"/>
    <s v="Caio Rodrigues"/>
    <s v="213ESD"/>
    <n v="141"/>
    <s v="FY2024"/>
    <n v="2024"/>
  </r>
  <r>
    <s v="KBISP202406510"/>
    <s v="PC130LC-10M0, ARM, ARM, CRACK, TRINCA NA SOLDA DO BRAÇO  "/>
    <s v="PC130LC-10M0"/>
    <s v="B20291"/>
    <x v="14"/>
    <s v="Arm crack - AB25018 - FCB25016"/>
    <s v="TRINCA NA SOLDA DO BRAÇO"/>
    <m/>
    <n v="1370"/>
    <s v="Closed"/>
    <d v="2024-06-07T00:00:00"/>
    <m/>
    <d v="2023-07-14T00:00:00"/>
    <d v="2023-09-05T00:00:00"/>
    <s v="204-70-00480"/>
    <s v="ARM"/>
    <s v="ARM"/>
    <s v="CRACK"/>
    <s v="KDB (Plant) (51)"/>
    <m/>
    <s v="Completed"/>
    <d v="2024-06-07T00:00:00"/>
    <x v="5"/>
    <s v="KBI (9447)"/>
    <d v="2024-06-07T00:00:00"/>
    <m/>
    <s v="Caio Rodrigues"/>
    <s v="213ESD"/>
    <n v="0"/>
    <s v="FY2024"/>
    <n v="2024"/>
  </r>
  <r>
    <s v="KBISP202406511"/>
    <s v="PC130LC-10M0, ARM, ARM, CRACK, TRINCA NA SOLDA DO BRAÇO  "/>
    <s v="PC130LC-10M0"/>
    <s v="B20109"/>
    <x v="14"/>
    <s v="Arm crack - AB25018 - FCB25016"/>
    <s v="TRINCA NA SOLDA DO BRAÇO"/>
    <m/>
    <n v="3876"/>
    <s v="Closed"/>
    <d v="2024-06-07T00:00:00"/>
    <m/>
    <d v="2022-07-18T00:00:00"/>
    <d v="2022-10-27T00:00:00"/>
    <s v="204-70-00480"/>
    <s v="ARM"/>
    <s v="ARM"/>
    <s v="CRACK"/>
    <s v="KDB (Plant) (51)"/>
    <m/>
    <s v="Completed"/>
    <d v="2024-06-07T00:00:00"/>
    <x v="5"/>
    <s v="KBI (9447)"/>
    <d v="2024-06-07T00:00:00"/>
    <s v="CLIENTE POSSUI DOIS EQUIPAMENTOS KOMATSU"/>
    <s v="Caio Rodrigues"/>
    <s v="213ESD"/>
    <n v="0"/>
    <s v="FY2024"/>
    <n v="2024"/>
  </r>
  <r>
    <s v="KBISP202406516"/>
    <s v="PC130LC-10M0, ARM, ARM, DETERIORATION, EMBUCHAMENTO  "/>
    <s v="PC130LC-10M0"/>
    <s v="B20254"/>
    <x v="14"/>
    <s v="Bushing and Pin wear"/>
    <s v="EMBUCHAMENTO"/>
    <m/>
    <n v="1207"/>
    <s v="Closed"/>
    <d v="2024-06-13T00:00:00"/>
    <m/>
    <d v="2023-03-15T00:00:00"/>
    <d v="1899-12-31T00:00:00"/>
    <s v="204-70-00480"/>
    <s v="ARM"/>
    <s v="ARM"/>
    <s v="DETERIORATION"/>
    <s v="KDB (Plant) (51)"/>
    <m/>
    <s v="Completed"/>
    <d v="2024-06-14T00:00:00"/>
    <x v="5"/>
    <s v="KBI (9447)"/>
    <d v="2024-06-14T00:00:00"/>
    <s v="EQUIPAMENTO UTILIZA GRAXA KOMATSU"/>
    <s v="Caio Rodrigues"/>
    <s v="213ESD"/>
    <n v="1"/>
    <s v="FY2024"/>
    <n v="2024"/>
  </r>
  <r>
    <s v="KBIMB202406510"/>
    <s v="PC130LC-10M0, CAB ASS'Y GROUP, coxins, MALFUNCTION, coxins avariados  "/>
    <s v="PC130LC-10M0"/>
    <s v="B20241"/>
    <x v="12"/>
    <s v="Cab cushion"/>
    <s v="coxins avariados"/>
    <m/>
    <n v="1069"/>
    <s v="Closed"/>
    <d v="2024-01-09T00:00:00"/>
    <d v="2024-05-27T00:00:00"/>
    <d v="2023-02-09T00:00:00"/>
    <d v="2023-09-12T00:00:00"/>
    <s v="20Y-53-13113"/>
    <s v="coxins"/>
    <s v="CAB ASS'Y GROUP"/>
    <s v="MALFUNCTION"/>
    <s v="KDB (Plant) (51)"/>
    <m/>
    <s v="Completed"/>
    <d v="2024-06-24T00:00:00"/>
    <x v="3"/>
    <s v="KBI (9447)"/>
    <d v="2024-06-24T00:00:00"/>
    <s v="Equipamento testado e liberado para operação."/>
    <s v="Whasterley Silva"/>
    <s v="213I"/>
    <n v="167"/>
    <s v="FY2024"/>
    <n v="2024"/>
  </r>
  <r>
    <s v="KBIPR202406511"/>
    <s v="PC130LC-10M0, OTHERS, CONTRA PESO, DEFECTIVE APPEARANCE, QUALIDADE DE ACABAMENTO  "/>
    <s v="PC130LC-10M0"/>
    <s v="B20457"/>
    <x v="24"/>
    <s v="Counterweight paiting"/>
    <s v="QUALIDADE DE ACABAMENTO"/>
    <m/>
    <n v="3.8"/>
    <s v="Plant.QA Approved"/>
    <d v="2024-06-21T00:00:00"/>
    <m/>
    <d v="2024-05-22T00:00:00"/>
    <d v="1899-12-31T00:00:00"/>
    <s v="XX"/>
    <s v="CONTRA PESO"/>
    <s v="OTHERS"/>
    <s v="DEFECTIVE APPEARANCE"/>
    <s v="KDB (Plant) (51)"/>
    <s v="KDB - Quality Assurance"/>
    <s v="In Process"/>
    <d v="2024-06-25T00:00:00"/>
    <x v="1"/>
    <s v="KBI (9447)"/>
    <d v="2024-06-25T00:00:00"/>
    <s v="Reforçamos e alertamos a necessidade de uma inspeção no equipamento antes do carregamento e saída do estoque para o distribuidor. Visto que tem equipamentos que já saem direcionados a serem entregues ao cliente e não tendo tempo hábil para certos consertos de falhas."/>
    <s v="Neia Sene"/>
    <s v="213PRB"/>
    <n v="4"/>
    <s v="FY2024"/>
    <n v="2024"/>
  </r>
  <r>
    <s v="KBIPE202406501"/>
    <s v="PC130LC-10M0, AIR CONDITIONER, Suporte, BROKEN,   "/>
    <s v="PC130LC-10M0"/>
    <s v="B20344"/>
    <x v="4"/>
    <s v="Condensor support crack"/>
    <m/>
    <m/>
    <n v="924"/>
    <s v="Closed"/>
    <d v="2024-06-21T00:00:00"/>
    <m/>
    <d v="2023-10-06T00:00:00"/>
    <d v="2023-11-16T00:00:00"/>
    <s v="204-979-7730"/>
    <s v="Suporte"/>
    <s v="AIR CONDITIONER"/>
    <s v="BROKEN"/>
    <s v="KDB (Plant) (51)"/>
    <m/>
    <s v="Completed"/>
    <d v="2024-06-27T00:00:00"/>
    <x v="2"/>
    <s v="KBI (9447)"/>
    <d v="2024-06-28T00:00:00"/>
    <s v="Equipamento em local de risco, realizamos reparo paliativo da cordoaria para movimentação e estacionamento em local seguro, não identificamos ação por agente externo que pudesse ocasionar danos da estrutura do suporte de ar condicionado e pelas característica entendemos que foi falha de produto."/>
    <s v="Marcos Santos"/>
    <s v="213BAB"/>
    <n v="7"/>
    <s v="FY2024"/>
    <n v="2024"/>
  </r>
  <r>
    <s v="KBIPR202407502"/>
    <s v="PC130LC-10M0, TRACK ROLLER, ROLETE, ENTER/LEAKS, Falha em rolete inferior Esquerdo  "/>
    <s v="PC130LC-10M0"/>
    <s v="B20235"/>
    <x v="29"/>
    <s v="Track roller break / leak"/>
    <s v="Falha em rolete inferior Esquerdo"/>
    <m/>
    <n v="598"/>
    <s v="Closed"/>
    <d v="2024-06-25T00:00:00"/>
    <d v="2024-06-27T00:00:00"/>
    <d v="2023-02-02T00:00:00"/>
    <d v="2023-09-29T00:00:00"/>
    <s v="22B-30-00412"/>
    <s v="ROLETE"/>
    <s v="TRACK ROLLER"/>
    <s v="ENTER/LEAKS"/>
    <s v="KDB (Plant) (51)"/>
    <m/>
    <s v="Completed"/>
    <d v="2024-07-02T00:00:00"/>
    <x v="1"/>
    <s v="KBI (9447)"/>
    <d v="2024-07-02T00:00:00"/>
    <s v="TENDO EM VISTA AS OBSERVAÇÕES É POSSIVEL CONCLUIR QUE A FALHA FOI DO CONJUNTO DE ROLETE INFERIOR, DEVIDO AO VAZAMENTO DE ÓLEO QUE NÃO FOI OBSERVADO DURANTE A OPERAÇÃO E VEIO A PROVOCAR FALHAS NO MESMO. EQUIPAMENTO POSSUI CONTRATO DE MANUTENÇÃO."/>
    <s v="Neia Sene"/>
    <s v="213PRB"/>
    <n v="7"/>
    <s v="FY2024"/>
    <n v="2024"/>
  </r>
  <r>
    <s v="KBIPR202407508"/>
    <s v="PC130-10M0, OTHERS, CHASSI INFERIOR, WEAR/RUST/SCRATCHED(SURFACE), AVARIA PINTURA -  "/>
    <s v="PC130-10M0"/>
    <s v="B20462"/>
    <x v="1"/>
    <s v="Painting"/>
    <s v="AVARIA PINTURA -"/>
    <m/>
    <n v="6.3"/>
    <s v="Plant.QA Approved"/>
    <d v="2024-06-26T00:00:00"/>
    <m/>
    <d v="2024-05-28T00:00:00"/>
    <d v="1899-12-31T00:00:00"/>
    <s v="XX"/>
    <s v="CHASSI INFERIOR"/>
    <s v="OTHERS"/>
    <s v="WEAR/RUST/SCRATCHED(SURFACE)"/>
    <s v="KDB (Plant) (51)"/>
    <s v="KDB - Quality Assurance"/>
    <s v="In Process"/>
    <d v="2024-07-05T00:00:00"/>
    <x v="1"/>
    <s v="KBI (9447)"/>
    <d v="2024-07-05T00:00:00"/>
    <s v="EQUIPAMENTO APRESENTA FALHA NA PINTURA NA PEÇA INTEIRA COMO APRESENTA NA FOTO EXPOSTA NA TSI. ONDE HOUVE A NECESSIDADE DE REALIZAR O REPARO, PARA DEIXAR O EQUIPAMENTO EM PERFEITA CONDIÇÕES PARA SER ENTREGUE AO CLIENTE.."/>
    <s v="Neia Sene"/>
    <s v="213PRB"/>
    <n v="9"/>
    <s v="FY2024"/>
    <n v="2024"/>
  </r>
  <r>
    <s v="KBIPR202407509"/>
    <s v="PC130-10M0, OTHERS, PINTURA, WEAR/RUST/SCRATCHED(SURFACE), AVARIAS NA PINTURA E ACABAMENTO - QUALI  "/>
    <s v="PC130-10M0"/>
    <s v="B20431"/>
    <x v="1"/>
    <s v="Painting"/>
    <s v="AVARIAS NA PINTURA E ACABAMENTO - QUALI"/>
    <m/>
    <n v="4"/>
    <s v="Plant.QA Approved"/>
    <d v="2024-06-28T00:00:00"/>
    <m/>
    <d v="2024-04-29T00:00:00"/>
    <d v="1899-12-31T00:00:00"/>
    <s v="XX"/>
    <s v="PINTURA"/>
    <s v="OTHERS"/>
    <s v="WEAR/RUST/SCRATCHED(SURFACE)"/>
    <s v="KDB (Plant) (51)"/>
    <s v="KDB - Quality Assurance"/>
    <s v="In Process"/>
    <d v="2024-07-05T00:00:00"/>
    <x v="1"/>
    <s v="KBI (9447)"/>
    <d v="2024-07-05T00:00:00"/>
    <s v="REGISTRAMOS E REFORÇAMOS A NECESSIDADE DE UMA INSPEÇÃAO EM RELAÇÃO A QUALIDADE DE ACABAMENTO AO SAIR PARA TRANSPORTE. SABEMOS QUE EXISTE FALHAS QUE PODEM OCORRER NO TRANAPORTE , PELO TEMPO EM ESTOCAGEM. MAS ESSAS NO PROCESSO DE FABRICAAÇÃO DEVERIA SIM PASSAR POR UMA VISTORIA CRITERIOSA AFIM DE CONTROLE DE QUALIDADE. POR ISSO RELATAMOS E EVIDENCIAMOS AS FALHAS SEMPRE COM O INTUIDO DE BUSCAR UMA MELHORIA."/>
    <s v="Neia Sene"/>
    <s v="213PRB"/>
    <n v="7"/>
    <s v="FY2024"/>
    <n v="2024"/>
  </r>
  <r>
    <s v="KBIPR202407512"/>
    <s v="PC130LC-10M0, KOMTRAX ASSY, CONTROLADORA, MALFUNCTION, KOMTRAX NÃO COMUNICA  "/>
    <s v="PC130LC-10M0"/>
    <s v="B20273"/>
    <x v="9"/>
    <s v="Komtrax controller"/>
    <s v="KOMTRAX NÃO COMUNICA"/>
    <m/>
    <n v="821"/>
    <s v="Closed"/>
    <d v="2024-01-20T00:00:00"/>
    <d v="2024-06-24T00:00:00"/>
    <d v="2023-06-16T00:00:00"/>
    <d v="2023-07-05T00:00:00"/>
    <s v="7826-60-1001"/>
    <s v="CONTROLADORA"/>
    <s v="KOMTRAX ASSY"/>
    <s v="MALFUNCTION"/>
    <s v="KDB (Plant) (51)"/>
    <m/>
    <s v="Completed"/>
    <d v="2024-07-10T00:00:00"/>
    <x v="1"/>
    <s v="KBI (9447)"/>
    <d v="2024-07-10T00:00:00"/>
    <s v="Após a substituição conforme orientação da fábrica nós abriremos um chamado para o ICT e informaremos os dados da PN e serial de ambos as controladoras, a que saiu da máquina e a controladora que foi instalada. Para com essas informações fazerem as alterações do registro no sistema e então aguardaremos um prazo de 07 dias para a máquina voltar a comunicar._x000a_PN VELHA 7826-60-1001 / 064437_x000a_PN NOVA 7826-60-1002 / 113644"/>
    <s v="Neia Sene"/>
    <s v="213PRB"/>
    <n v="172"/>
    <s v="FY2024"/>
    <n v="2024"/>
  </r>
  <r>
    <s v="KBI1F202407502"/>
    <s v="PC130LC-10M0, ELECTRICAL SYSTEM, TERMINAL R01-T08 RELÉ DA BATERIA, DEFECTIVE ADJUSTMENT, CÓD. ERRO - DA22K E D19JKZ  "/>
    <s v="PC130LC-10M0"/>
    <s v="B20387"/>
    <x v="8"/>
    <s v="Sensor"/>
    <s v="CÓD. ERRO - DA22K E D19JKZ"/>
    <m/>
    <n v="21"/>
    <s v="Plant.QA Approved"/>
    <d v="2024-06-13T00:00:00"/>
    <d v="2024-06-20T00:00:00"/>
    <d v="2024-02-21T00:00:00"/>
    <d v="2024-05-29T00:00:00"/>
    <s v="x"/>
    <s v="TERMINAL R01-T08 RELÉ DA BATERIA"/>
    <s v="ELECTRICAL SYSTEM"/>
    <s v="DEFECTIVE ADJUSTMENT"/>
    <s v="KDB (Plant) (51)"/>
    <s v="KDB - Quality Assurance"/>
    <s v="In Process"/>
    <d v="2024-07-15T00:00:00"/>
    <x v="8"/>
    <s v="KBI (9447)"/>
    <d v="2024-07-15T00:00:00"/>
    <m/>
    <s v="Franciele Ferreira"/>
    <s v="213RSC"/>
    <n v="32"/>
    <s v="FY2024"/>
    <n v="2024"/>
  </r>
  <r>
    <s v="KBISP202407503"/>
    <s v="PC130LC-10M0, HYDRAULIC PIPING(1), MANGUEIRA, OPERATIONAL COMPLAINT,   "/>
    <s v="PC130LC-10M0"/>
    <s v="B20292"/>
    <x v="5"/>
    <s v="Hose low torque"/>
    <m/>
    <m/>
    <n v="1319"/>
    <s v="Closed"/>
    <d v="2024-05-10T00:00:00"/>
    <d v="2024-06-28T00:00:00"/>
    <d v="2023-07-17T00:00:00"/>
    <d v="2023-09-01T00:00:00"/>
    <s v="204-62-73170"/>
    <s v="MANGUEIRA"/>
    <s v="HYDRAULIC PIPING(1)"/>
    <s v="OPERATIONAL COMPLAINT"/>
    <s v="KDB (Plant) (51)"/>
    <m/>
    <s v="Completed"/>
    <d v="2024-07-19T00:00:00"/>
    <x v="5"/>
    <s v="KBI (9447)"/>
    <d v="2024-07-19T00:00:00"/>
    <m/>
    <s v="Paulo Dias"/>
    <s v="213SPA"/>
    <n v="70"/>
    <s v="FY2024"/>
    <n v="2024"/>
  </r>
  <r>
    <s v="KBISP202407504"/>
    <s v="PC130LC-10M0, ENGINE ASSY, ENGINE, MALFUNCTION,   "/>
    <s v="PC130LC-10M0"/>
    <s v="B20281"/>
    <x v="10"/>
    <s v="4th cylinder"/>
    <m/>
    <m/>
    <n v="181"/>
    <s v="Closed"/>
    <d v="2024-07-16T00:00:00"/>
    <m/>
    <d v="2023-06-28T00:00:00"/>
    <d v="2023-11-30T00:00:00"/>
    <s v="SAA4D95LE5"/>
    <s v="ENGINE"/>
    <s v="ENGINE ASSY"/>
    <s v="MALFUNCTION"/>
    <s v="KDB (Plant) (51)"/>
    <m/>
    <s v="Completed"/>
    <d v="2024-07-22T00:00:00"/>
    <x v="5"/>
    <s v="KBI (9447)"/>
    <d v="2024-07-22T00:00:00"/>
    <s v="Foi efetuado o corte nos bicos injetores e identificado que o 4° cilindro estava falhando._x000a_Após identificado que o 4° cilindro estava falhando efetuamos a verificação com uma sonda para identificar a parte de dentro do cilindro, identificamos que a cabeça do cilindro estava com excesso de óleo._x000a__x000a_Foi removido bicos, bomba e o Common-rail para teste e não foi identificado nenhuma anormalidade nos componentes. _x000a__x000a_Foi efetuado testes de pressão e não foi identificado baixa pressão no sistema._x000a__x000a_Equipamento não apresentou código de falha para esse defeito."/>
    <s v="Caio Rodrigues"/>
    <s v="213ESD"/>
    <n v="6"/>
    <s v="FY2024"/>
    <n v="2024"/>
  </r>
  <r>
    <s v="KBISP202407506"/>
    <s v="PC130LC-10M0, ALTERNATOR, REGULADOR DE VOLTAGEM, MALFUNCTION,   "/>
    <s v="PC130LC-10M0"/>
    <s v="B20338"/>
    <x v="30"/>
    <s v="Alternator"/>
    <m/>
    <m/>
    <n v="241"/>
    <s v="Closed"/>
    <d v="2024-04-29T00:00:00"/>
    <d v="2024-06-06T00:00:00"/>
    <d v="2023-09-27T00:00:00"/>
    <d v="2023-11-06T00:00:00"/>
    <s v="ND126000-2320"/>
    <s v="REGULADOR DE VOLTAGEM"/>
    <s v="ALTERNATOR"/>
    <s v="MALFUNCTION"/>
    <s v="KDB (Plant) (51)"/>
    <m/>
    <s v="Completed"/>
    <d v="2024-07-23T00:00:00"/>
    <x v="5"/>
    <s v="KBI (9447)"/>
    <d v="2024-07-23T00:00:00"/>
    <m/>
    <s v="Paulo Dias"/>
    <s v="213SPA"/>
    <n v="85"/>
    <s v="FY2024"/>
    <n v="2024"/>
  </r>
  <r>
    <s v="KBIPR202407524"/>
    <s v="PC130LC-10M0, HYDRAULIC CYLINDER, CILINDRO DA CAÇAMBA, ENTER/LEAKS, CILINDRO DA CAÇAMBA COM VAZAMENTO  "/>
    <s v="PC130LC-10M0"/>
    <s v="B20394"/>
    <x v="31"/>
    <s v="Bucket cylinder leak"/>
    <s v="CILINDRO DA CAÇAMBA COM VAZAMENTO"/>
    <m/>
    <n v="407"/>
    <s v="Closed"/>
    <d v="2024-06-17T00:00:00"/>
    <m/>
    <d v="2024-02-29T00:00:00"/>
    <d v="2024-03-28T00:00:00"/>
    <s v="707-13-95230"/>
    <s v="CILINDRO DA CAÇAMBA"/>
    <s v="HYDRAULIC CYLINDER"/>
    <s v="ENTER/LEAKS"/>
    <s v="KDB (Plant) (51)"/>
    <m/>
    <s v="Completed"/>
    <d v="2024-07-25T00:00:00"/>
    <x v="1"/>
    <s v="KBI (9447)"/>
    <d v="2024-07-25T00:00:00"/>
    <s v="Durante o nosso diagnostico e como poderá ser visto no vídeo em anexo, não foram encontrados danos na haste do cilindro."/>
    <s v="Neia Sene"/>
    <s v="213PRB"/>
    <n v="38"/>
    <s v="FY2024"/>
    <n v="2024"/>
  </r>
  <r>
    <s v="KBISP202407510"/>
    <s v="PC130LC-10M0, OTHERS, ANTICONGELANTE, HIGH/LOW LEVEL,   "/>
    <s v="PC130LC-10M0"/>
    <s v="B20393"/>
    <x v="17"/>
    <s v="Coolant level"/>
    <m/>
    <m/>
    <n v="207"/>
    <s v="Closed"/>
    <d v="2024-06-12T00:00:00"/>
    <d v="2024-06-12T00:00:00"/>
    <d v="2024-02-26T00:00:00"/>
    <d v="2024-04-11T00:00:00"/>
    <s v="600-411-1113"/>
    <s v="ANTICONGELANTE"/>
    <s v="OTHERS"/>
    <s v="HIGH/LOW LEVEL"/>
    <s v="KDB (Plant) (51)"/>
    <m/>
    <s v="Completed"/>
    <d v="2024-07-24T00:00:00"/>
    <x v="5"/>
    <s v="KBI (9447)"/>
    <d v="2024-07-25T00:00:00"/>
    <m/>
    <s v="Paulo Dias"/>
    <s v="213SPA"/>
    <n v="43"/>
    <s v="FY2024"/>
    <n v="2024"/>
  </r>
  <r>
    <s v="KBIPR202408503"/>
    <s v="PC130LC-10M0, ACCESSORY &amp; PARTS, TAMPA PROTEÇÃO CILINDRO, DEFECTIVE ADJUSTMENT, TAMPA DO CILINDRO SOLTOU  "/>
    <s v="PC130LC-10M0"/>
    <s v="B20450"/>
    <x v="26"/>
    <s v="Boom cylinder cover"/>
    <s v="TAMPA DO CILINDRO SOLTOU"/>
    <m/>
    <n v="127"/>
    <s v="Closed"/>
    <d v="2024-07-10T00:00:00"/>
    <d v="2024-07-19T00:00:00"/>
    <d v="2024-05-14T00:00:00"/>
    <d v="2024-05-28T00:00:00"/>
    <s v="22B-70-21920"/>
    <s v="TAMPA PROTEÇÃO CILINDRO"/>
    <s v="ACCESSORY &amp; PARTS"/>
    <s v="DEFECTIVE ADJUSTMENT"/>
    <s v="KDB (Plant) (51)"/>
    <m/>
    <s v="Completed"/>
    <d v="2024-08-02T00:00:00"/>
    <x v="1"/>
    <s v="KBI (9447)"/>
    <d v="2024-08-02T00:00:00"/>
    <s v="Foi necessário confeccionar a peça conforme referência 22B-70-21920 pois não tinhamos em estoque, a fábrica não tinha disponivel e o equipamento estava parado, e precisavamos liberar o equipamento  a pedido do cliente._x000a_Na primeira visita para montage, o técnico aplicou 3 calços conforme catálogo de peças e conforme estava montado do outro lado._x000a_Na Segunda visita o técnico foi investigar o porque estava frouxando os parafusos e percebeu que o conjunto estava muito apertado, verificamos o manual de serviço e é necessário ter uma folga, então foi removido 1 calço de cada lado. _x000a_Acompanhamos por alguns dias com o cliente e não voltou mais a frouxar."/>
    <s v="Neia Sene"/>
    <s v="213PRB"/>
    <n v="23"/>
    <s v="FY2024"/>
    <n v="2024"/>
  </r>
  <r>
    <s v="KBISP202408504"/>
    <s v="PC130LC-10M0, HYDRAULIC CYLINDER, vedações cilindro, MALFUNCTION,   "/>
    <s v="PC130LC-10M0"/>
    <s v="B20325"/>
    <x v="2"/>
    <s v="Arm cylinder trim"/>
    <m/>
    <m/>
    <n v="352"/>
    <s v="Closed"/>
    <d v="2024-06-27T00:00:00"/>
    <d v="2024-07-22T00:00:00"/>
    <d v="2023-09-19T00:00:00"/>
    <d v="2023-12-01T00:00:00"/>
    <s v="721-98-01850"/>
    <s v="vedações cilindro"/>
    <s v="HYDRAULIC CYLINDER"/>
    <s v="MALFUNCTION"/>
    <s v="KDB (Plant) (51)"/>
    <m/>
    <s v="Completed"/>
    <d v="2024-08-06T00:00:00"/>
    <x v="5"/>
    <s v="KBI (9447)"/>
    <d v="2024-08-06T00:00:00"/>
    <m/>
    <s v="Paulo Dias"/>
    <s v="213SPA"/>
    <n v="40"/>
    <s v="FY2024"/>
    <n v="2024"/>
  </r>
  <r>
    <s v="KBIMB202408520"/>
    <s v="PC130LC-10M0, FUEL TANK GROUP, INJECTOR ASSEMBLY, DEFECTIVE APPEARANCE, BICOS INJETORES TRAVADOS  "/>
    <s v="PC130LC-10M0"/>
    <s v="B20426"/>
    <x v="10"/>
    <s v="Injector"/>
    <s v="BICOS INJETORES TRAVADOS"/>
    <m/>
    <n v="501"/>
    <s v="Sub.Submitted"/>
    <d v="2024-08-05T00:00:00"/>
    <d v="2024-08-09T00:00:00"/>
    <d v="2024-04-23T00:00:00"/>
    <d v="2024-05-06T00:00:00"/>
    <s v="6271-11-3100"/>
    <s v="INJECTOR ASSEMBLY"/>
    <s v="FUEL TANK GROUP"/>
    <s v="DEFECTIVE APPEARANCE"/>
    <s v="KDB (Plant) (51)"/>
    <s v="Pending Requests"/>
    <s v="Pending Request"/>
    <d v="2024-08-29T00:00:00"/>
    <x v="3"/>
    <s v="KBI (9447)"/>
    <d v="2024-08-29T00:00:00"/>
    <m/>
    <s v="Higor Alves"/>
    <s v="213MGC"/>
    <n v="24"/>
    <s v="FY2024"/>
    <n v="2024"/>
  </r>
  <r>
    <s v="KBI9A202409503"/>
    <s v="PC130LC-10M0, OTHERS, Interruptor de pressão de óleo, MALFUNCTION, Baixa pressão de óleo do motor.  "/>
    <s v="PC130LC-10M0"/>
    <s v="B20179"/>
    <x v="8"/>
    <s v="Sensor"/>
    <s v="Baixa pressão de óleo do motor."/>
    <m/>
    <n v="82"/>
    <s v="Sub.Confirmed Reply"/>
    <d v="2024-08-21T00:00:00"/>
    <d v="2024-08-21T00:00:00"/>
    <d v="2022-10-14T00:00:00"/>
    <d v="2023-01-18T00:00:00"/>
    <s v="6271-81-1940"/>
    <s v="Interruptor de pressão de óleo"/>
    <s v="OTHERS"/>
    <s v="MALFUNCTION"/>
    <s v="Oyama (Engine) Plant (07)"/>
    <s v="&lt;Rafael Nasser Manfredini&gt;"/>
    <s v="In Process"/>
    <d v="2024-09-09T00:00:00"/>
    <x v="4"/>
    <s v="KBI (9447)"/>
    <d v="2024-09-09T00:00:00"/>
    <s v="Durante o diagnóstico do motor da escavadeira, foi identificada uma falha relacionada à baixa pressão de óleo, juntamente com a falha no interruptor de pressão do sistema. A baixa pressão de óleo pode resultar em danos ao motor e à lubrificação inadequada dos componentes internos, enquanto a falha no_x000a_interruptor de pressão pode comprometer a detecção e o monitoramento adequado da pressão do óleo._x000a__x000a_1. O motor da escavadeira não apresenta baixa pressão de óleo, indicada por alertas no painel de instrumentos e medições realizadas via manômetro que indicou uma pressão 5 BAR a 1500 rpm 82°C atendendo as especificações do manual de oficina komatsu_x000a__x000a_2. Foi identificada uma falha no interruptor de pressão do sistema de óleo, afetando a detecção e a transmissão dos dados de pressão para o painel de controle._x000a__x000a_Procedimento de Diagnóstico Realizado:_x000a__x000a_1. Verificação visual do sistema de óleo para identificar vazamentos, obstruções ou danos nos componentes._x000a_2. Teste de pressão de óleo para confirmar a baixa pressão e avaliar a condição do sistema de lubrificação._x000a_3. Inspeção do interruptor de pressão para verificar sua integridade e funcionamento correto, incluindo testes de continuidade elétrica."/>
    <s v="Julio Cesar Da Silva Pereira"/>
    <s v="213GOC"/>
    <n v="19"/>
    <s v="FY2024"/>
    <n v="2024"/>
  </r>
  <r>
    <s v="KBIMB202409504"/>
    <s v="PC130LC-10M0, ARM, ARM, BROKEN, TRINCA NA SOLDA DO BRAÇO  "/>
    <s v="PC130LC-10M0"/>
    <s v="B20198"/>
    <x v="14"/>
    <s v="Arm crack - AB25018 - FCB25016"/>
    <s v="TRINCA NA SOLDA DO BRAÇO"/>
    <m/>
    <n v="2759"/>
    <s v="Sub.Submitted"/>
    <d v="2024-08-27T00:00:00"/>
    <m/>
    <d v="2022-10-31T00:00:00"/>
    <d v="2023-01-18T00:00:00"/>
    <s v="203-70-01980"/>
    <s v="ARM"/>
    <s v="ARM"/>
    <s v="BROKEN"/>
    <s v="KDB (Plant) (51)"/>
    <s v="Pending Requests"/>
    <s v="Pending Request"/>
    <d v="2024-09-09T00:00:00"/>
    <x v="3"/>
    <s v="KBI (9447)"/>
    <d v="2024-09-09T00:00:00"/>
    <m/>
    <s v="Higor Alves"/>
    <s v="213MGC"/>
    <n v="13"/>
    <s v="FY2024"/>
    <n v="2024"/>
  </r>
  <r>
    <s v="KBIPR202409503"/>
    <s v="PC130LC-10M0, OTHERS, MANGUEIRA JOYSTICK, ENTER/LEAKS, MANGUEIRA JOYSTICK COM VAZAMENTO  "/>
    <s v="PC130LC-10M0"/>
    <s v="B20500"/>
    <x v="5"/>
    <s v="Hose leak"/>
    <s v="MANGUEIRA JOYSTICK COM VAZAMENTO"/>
    <m/>
    <n v="52"/>
    <s v="Closed"/>
    <d v="2024-08-19T00:00:00"/>
    <d v="2024-08-19T00:00:00"/>
    <d v="2024-07-24T00:00:00"/>
    <d v="2024-08-06T00:00:00"/>
    <s v="XX"/>
    <s v="MANGUEIRA JOYSTICK"/>
    <s v="OTHERS"/>
    <s v="ENTER/LEAKS"/>
    <s v="KDB (Plant) (51)"/>
    <m/>
    <s v="Completed"/>
    <d v="2024-09-09T00:00:00"/>
    <x v="1"/>
    <s v="KBI (9447)"/>
    <d v="2024-09-09T00:00:00"/>
    <s v="Após o reaperto da mangueira acompanhamos o equipamento por um período em operação e o mesmo ficou em condições de uso."/>
    <s v="Neia Sene"/>
    <s v="213PRB"/>
    <n v="21"/>
    <s v="FY2024"/>
    <n v="2024"/>
  </r>
  <r>
    <s v="KBISP202409504"/>
    <s v="PC130LC-10M0, ENGINE ASSY, MUFFLER, BROKEN,   "/>
    <s v="PC130LC-10M0"/>
    <s v="B20343"/>
    <x v="13"/>
    <s v="Abnormal noise on muffler (before countermeasure)"/>
    <m/>
    <m/>
    <n v="1010"/>
    <s v="Closed"/>
    <d v="2024-07-31T00:00:00"/>
    <m/>
    <d v="2023-10-02T00:00:00"/>
    <d v="2023-12-25T00:00:00"/>
    <s v="6271-11-5230"/>
    <s v="MUFFLER"/>
    <s v="ENGINE ASSY"/>
    <s v="BROKEN"/>
    <s v="KDB (Plant) (51)"/>
    <m/>
    <s v="Completed"/>
    <d v="2024-09-09T00:00:00"/>
    <x v="5"/>
    <s v="KBI (9447)"/>
    <d v="2024-09-09T00:00:00"/>
    <s v="Cliente com todas as revisões feitas no distribuidor."/>
    <s v="Caio Rodrigues"/>
    <s v="213ESD"/>
    <n v="40"/>
    <s v="FY2024"/>
    <n v="2024"/>
  </r>
  <r>
    <s v="KBISP202409505"/>
    <s v="PC130LC-10M0, ARM, pin, BROKEN,   "/>
    <s v="PC130LC-10M0"/>
    <s v="B20337"/>
    <x v="2"/>
    <s v="Arm cylinder pin break - AB25032 / FCB25040"/>
    <m/>
    <m/>
    <n v="1499"/>
    <s v="Plant.QA Approved"/>
    <d v="2024-08-23T00:00:00"/>
    <d v="2024-08-27T00:00:00"/>
    <d v="2023-09-26T00:00:00"/>
    <d v="2023-11-29T00:00:00"/>
    <s v="203-70-42122"/>
    <s v="pin"/>
    <s v="ARM"/>
    <s v="BROKEN"/>
    <s v="KDB (Plant) (51)"/>
    <s v="KDB - Quality Assurance"/>
    <s v="In Process"/>
    <d v="2024-09-10T00:00:00"/>
    <x v="5"/>
    <s v="KBI (9447)"/>
    <d v="2024-09-10T00:00:00"/>
    <s v="Cliente com todas as revisões feitas no distribuidor."/>
    <s v="Caio Rodrigues"/>
    <s v="213ESD"/>
    <n v="18"/>
    <s v="FY2024"/>
    <n v="2024"/>
  </r>
  <r>
    <s v="KBI1F202409506"/>
    <s v="PC130LC-10M0, OTHERS, TURBINA, DEFECTIVE APPEARANCE, DESGASTE EXCESSIVO NA TURBINA  "/>
    <s v="PC130LC-10M0"/>
    <s v="B20185"/>
    <x v="19"/>
    <s v="Turbocharger"/>
    <s v="DESGASTE EXCESSIVO NA TURBINA"/>
    <m/>
    <n v="350"/>
    <s v="Closed"/>
    <d v="2024-08-15T00:00:00"/>
    <m/>
    <d v="2022-10-19T00:00:00"/>
    <d v="2022-12-07T00:00:00"/>
    <s v="6271-81-8100"/>
    <s v="TURBINA"/>
    <s v="OTHERS"/>
    <s v="DEFECTIVE APPEARANCE"/>
    <s v="KDB (Plant) (51)"/>
    <m/>
    <s v="Completed"/>
    <d v="2024-09-11T00:00:00"/>
    <x v="8"/>
    <s v="KBI (9447)"/>
    <d v="2024-09-11T00:00:00"/>
    <m/>
    <s v="Franciele Ferreira"/>
    <s v="213RSC"/>
    <n v="27"/>
    <s v="FY2024"/>
    <n v="2024"/>
  </r>
  <r>
    <s v="KBIPR202409505"/>
    <s v="PC130-10M0, OTHERS, TANQUE DIESEL, OTHER, TANQUE COM CONTAMINAÇÃO  "/>
    <s v="PC130-10M0"/>
    <s v="B20431"/>
    <x v="3"/>
    <s v="Hydraulic filter"/>
    <s v="TANQUE COM CONTAMINAÇÃO"/>
    <m/>
    <n v="62"/>
    <s v="Plant.QA Approved"/>
    <d v="2024-08-28T00:00:00"/>
    <d v="2024-09-03T00:00:00"/>
    <d v="2024-04-29T00:00:00"/>
    <d v="2024-07-18T00:00:00"/>
    <s v="204-04-B1010"/>
    <s v="TANQUE DIESEL"/>
    <s v="OTHERS"/>
    <s v="OTHER"/>
    <s v="KDB (Plant) (51)"/>
    <s v="KDB - Quality Assurance"/>
    <s v="In Process"/>
    <d v="2024-09-11T00:00:00"/>
    <x v="1"/>
    <s v="KBI (9447)"/>
    <d v="2024-09-11T00:00:00"/>
    <s v="Realizamos coleta do diesel e enviado para análise em laboratório. Após retorno na Oficina, abrimos o filtro primário para inspeção visual, e constatamos presença de limalhas no interior do filtro._x000a_O cliente não possui central de abastecimento e realiza abastecimentos com transferência por galões."/>
    <s v="Neia Sene"/>
    <s v="213PRB"/>
    <n v="14"/>
    <s v="FY2024"/>
    <n v="2024"/>
  </r>
  <r>
    <s v="KBIPR202409507"/>
    <s v="PC130LC-10M0, ACCESSORY &amp; PARTS, VÁLVULA, MALFUNCTION, VÁLVULA SOLENOIDE COM FIO ROMPIDO  "/>
    <s v="PC130LC-10M0"/>
    <s v="B20377"/>
    <x v="8"/>
    <s v="Solenoid"/>
    <s v="VÁLVULA SOLENOIDE COM FIO ROMPIDO"/>
    <m/>
    <n v="1115"/>
    <s v="Closed"/>
    <d v="2024-09-02T00:00:00"/>
    <d v="2024-09-05T00:00:00"/>
    <d v="2023-12-07T00:00:00"/>
    <d v="2024-03-07T00:00:00"/>
    <s v="22B-62-45811"/>
    <s v="VÁLVULA"/>
    <s v="ACCESSORY &amp; PARTS"/>
    <s v="MALFUNCTION"/>
    <s v="KDB (Plant) (51)"/>
    <m/>
    <s v="Completed"/>
    <d v="2024-09-13T00:00:00"/>
    <x v="1"/>
    <s v="KBI (9447)"/>
    <d v="2024-09-13T00:00:00"/>
    <s v="Realizamos a substituição da eletro válvula limpamos códigos de falha e testamos o equipamento e o equipamento funcionou normalmente."/>
    <s v="Neia Sene"/>
    <s v="213PRB"/>
    <n v="11"/>
    <s v="FY2024"/>
    <n v="2024"/>
  </r>
  <r>
    <s v="KBIPR202409508"/>
    <s v="PC130-10M0, AIR CONDITIONER, AR CONDIONADO, MALFUNCTION, AR CONDICIONADO NÃO FUNCIONA  "/>
    <s v="PC130-10M0"/>
    <s v="B20463"/>
    <x v="4"/>
    <s v="A/C"/>
    <s v="AR CONDICIONADO NÃO FUNCIONA"/>
    <m/>
    <n v="11"/>
    <s v="Closed"/>
    <d v="2024-08-23T00:00:00"/>
    <d v="2024-08-23T00:00:00"/>
    <d v="2024-05-28T00:00:00"/>
    <d v="2024-08-20T00:00:00"/>
    <s v="XX"/>
    <s v="AR CONDIONADO"/>
    <s v="AIR CONDITIONER"/>
    <s v="MALFUNCTION"/>
    <s v="KDB (Plant) (51)"/>
    <m/>
    <s v="Completed"/>
    <d v="2024-09-13T00:00:00"/>
    <x v="1"/>
    <s v="KBI (9447)"/>
    <d v="2024-09-13T00:00:00"/>
    <s v="Após realizado o reparo da falha acompanhamos o equipamento por um período e o mesmo ficou com o ar condicionado em pleno funcionamento."/>
    <s v="Neia Sene"/>
    <s v="213PRB"/>
    <n v="21"/>
    <s v="FY2024"/>
    <n v="2024"/>
  </r>
  <r>
    <s v="KBISP202409512"/>
    <s v="PC130LC-10M0, ELECTRONIC CONTROLLER, Controladora da bomba, MALFUNCTION, Maquina perdendo potência  "/>
    <s v="PC130LC-10M0"/>
    <s v="B20116"/>
    <x v="9"/>
    <s v="Pump controller"/>
    <s v="Maquina perdendo potência"/>
    <m/>
    <n v="2344"/>
    <s v="Sub.Received"/>
    <d v="2024-09-06T00:00:00"/>
    <m/>
    <d v="2022-07-20T00:00:00"/>
    <d v="2022-08-24T00:00:00"/>
    <s v="7835-51-4001"/>
    <s v="Controladora da bomba"/>
    <s v="ELECTRONIC CONTROLLER"/>
    <s v="MALFUNCTION"/>
    <s v="KDB (Plant) (51)"/>
    <s v="KBI - Construction Service"/>
    <s v="In Process"/>
    <d v="2024-09-17T00:00:00"/>
    <x v="5"/>
    <s v="KBI (9447)"/>
    <d v="2024-09-17T00:00:00"/>
    <m/>
    <s v="Gabriel Bonifacio"/>
    <s v="213SPB"/>
    <n v="11"/>
    <s v="FY2024"/>
    <n v="2024"/>
  </r>
  <r>
    <s v="KBI1F202409512"/>
    <s v="PC130LC-10M0, TRACK ROLLER, ROLETE, DEFECTIVE APPEARANCE,   "/>
    <s v="PC130LC-10M0"/>
    <s v="B20380"/>
    <x v="29"/>
    <s v="Track roller break / leak"/>
    <m/>
    <m/>
    <n v="698"/>
    <s v="Closed"/>
    <d v="2024-09-06T00:00:00"/>
    <d v="2024-09-10T00:00:00"/>
    <d v="2023-12-12T00:00:00"/>
    <d v="2024-04-15T00:00:00"/>
    <s v="22B-30-00413"/>
    <s v="ROLETE"/>
    <s v="TRACK ROLLER"/>
    <s v="DEFECTIVE APPEARANCE"/>
    <s v="KDB (Plant) (51)"/>
    <m/>
    <s v="Completed"/>
    <d v="2024-09-19T00:00:00"/>
    <x v="8"/>
    <s v="KBI (9447)"/>
    <d v="2024-09-19T00:00:00"/>
    <m/>
    <s v="Franciele Ferreira"/>
    <s v="213RSC"/>
    <n v="13"/>
    <s v="FY2024"/>
    <n v="2024"/>
  </r>
  <r>
    <s v="KBISP202409518"/>
    <s v="PC130LC-10M0, RADIATOR GROUP, Liquido de arrefecimento, HIGH/LOW LEVEL, Baixo nível do liquido de arrefecimento  "/>
    <s v="PC130LC-10M0"/>
    <s v="B20532"/>
    <x v="17"/>
    <s v="Coolant level"/>
    <s v="Baixo nível do liquido de arrefecimento"/>
    <m/>
    <n v="20"/>
    <s v="Closed"/>
    <d v="2024-09-26T00:00:00"/>
    <m/>
    <d v="2024-09-09T00:00:00"/>
    <s v="12/30/1899"/>
    <s v="600-411-1113"/>
    <s v="Liquido de arrefecimento"/>
    <s v="RADIATOR GROUP"/>
    <s v="HIGH/LOW LEVEL"/>
    <s v="KDB (Plant) (51)"/>
    <m/>
    <s v="Completed"/>
    <d v="2024-09-26T00:00:00"/>
    <x v="5"/>
    <s v="KBI (9447)"/>
    <d v="2024-09-26T00:00:00"/>
    <m/>
    <s v="Gabriel Bonifacio"/>
    <s v="213SPB"/>
    <n v="0"/>
    <s v="FY2024"/>
    <n v="2024"/>
  </r>
  <r>
    <s v="KBISP202409527"/>
    <s v="PC130LC-10M0, BATTERY, BATERIA, HIGH/LOW LEVEL,   "/>
    <s v="PC130LC-10M0"/>
    <s v="B20459"/>
    <x v="27"/>
    <s v="Battery"/>
    <m/>
    <m/>
    <n v="85"/>
    <s v="Plant.QA Approved"/>
    <d v="2024-09-18T00:00:00"/>
    <d v="2024-09-18T00:00:00"/>
    <d v="2024-05-27T00:00:00"/>
    <s v="12/30/1899"/>
    <s v="21K-06-B7160"/>
    <s v="BATERIA"/>
    <s v="BATTERY"/>
    <s v="HIGH/LOW LEVEL"/>
    <s v="KDB (Plant) (51)"/>
    <s v="KDB - Quality Assurance"/>
    <s v="In Process"/>
    <d v="2024-09-27T00:00:00"/>
    <x v="5"/>
    <s v="KBI (9447)"/>
    <d v="2024-09-27T00:00:00"/>
    <m/>
    <s v="Paulo Dias"/>
    <s v="213SPA"/>
    <n v="9"/>
    <s v="FY2024"/>
    <n v="2024"/>
  </r>
  <r>
    <s v="KBISP202409528"/>
    <s v="PC130LC-10M0, SWING CIRCLE, Mangueira, ENTER/LEAKS, MANGUEIRA SEM TORQUE  "/>
    <s v="PC130LC-10M0"/>
    <s v="B20459"/>
    <x v="5"/>
    <s v="Hose low torque"/>
    <s v="MANGUEIRA SEM TORQUE"/>
    <m/>
    <n v="85"/>
    <s v="Plant.QA Approved"/>
    <d v="2024-09-18T00:00:00"/>
    <d v="2024-09-18T00:00:00"/>
    <d v="2024-05-27T00:00:00"/>
    <s v="12/30/1899"/>
    <s v="22B-62-21940"/>
    <s v="Mangueira"/>
    <s v="SWING CIRCLE"/>
    <s v="ENTER/LEAKS"/>
    <s v="KDB (Plant) (51)"/>
    <s v="KDB - Quality Assurance"/>
    <s v="In Process"/>
    <d v="2024-09-27T00:00:00"/>
    <x v="5"/>
    <s v="KBI (9447)"/>
    <d v="2024-09-27T00:00:00"/>
    <m/>
    <s v="Paulo Dias"/>
    <s v="213SPA"/>
    <n v="9"/>
    <s v="FY2024"/>
    <n v="2024"/>
  </r>
  <r>
    <s v="KBIMB202410500"/>
    <s v="PC130LC-10M0, BATTERY, bateria, MALFUNCTION, BATERIA NÃO SEGURANDO CARGA  "/>
    <s v="PC130LC-10M0"/>
    <s v="B20513"/>
    <x v="27"/>
    <s v="Battery"/>
    <s v="BATERIA NÃO SEGURANDO CARGA"/>
    <m/>
    <n v="8"/>
    <s v="Plant.QA Approved"/>
    <d v="2024-09-25T00:00:00"/>
    <m/>
    <d v="2024-08-13T00:00:00"/>
    <s v="12/30/1899"/>
    <s v="21K-06-B7160"/>
    <s v="bateria"/>
    <s v="BATTERY"/>
    <s v="MALFUNCTION"/>
    <s v="KDB (Plant) (51)"/>
    <s v="KDB - Quality Assurance"/>
    <s v="In Process"/>
    <d v="2024-10-01T00:00:00"/>
    <x v="3"/>
    <s v="KBI (9447)"/>
    <d v="2024-10-01T00:00:00"/>
    <s v="Com base nas informações, concluo que trata-se de uma falha de produto._x000a_Devido as baterias estarem zeradas, possivelmente as baterias não estão segurando carga._x000a_Foi necessario dar uma carga nas baterias."/>
    <s v="Whasterley Silva"/>
    <s v="213I"/>
    <n v="6"/>
    <s v="FY2024"/>
    <n v="2024"/>
  </r>
  <r>
    <s v="KBIMB202410506"/>
    <s v="PC130LC-10M0, SPROCKET, Roda motriz, WEAR/RUST/SCRATCHED(SURFACE),   "/>
    <s v="PC130LC-10M0"/>
    <s v="B20352"/>
    <x v="20"/>
    <s v="Sprocket wear"/>
    <m/>
    <m/>
    <n v="1409"/>
    <s v="Sub.Received"/>
    <d v="2024-09-27T00:00:00"/>
    <m/>
    <d v="2023-10-18T00:00:00"/>
    <d v="2024-01-08T00:00:00"/>
    <s v="2A3-27-11310"/>
    <s v="Roda motriz"/>
    <s v="SPROCKET"/>
    <s v="WEAR/RUST/SCRATCHED(SURFACE)"/>
    <s v="KDB (Plant) (51)"/>
    <s v="KBI - Construction Service"/>
    <s v="In Process"/>
    <d v="2024-10-03T00:00:00"/>
    <x v="3"/>
    <s v="KBI (9447)"/>
    <d v="2024-10-03T00:00:00"/>
    <s v="Com base nas informações, concluo que trata-se de uma possível falha de produto._x000a_Podemos observar que o material rodante apresenta características de novo, sem muitas marcações de desgaste. Não apresenta desgaste no material rodante._x000a_Equipamento com baixo horimetro e possui contrato de manutenção com o distribuidor então sempre analisamos o equipamento nas preventivas."/>
    <s v="Whasterley Silva"/>
    <s v="213I"/>
    <n v="6"/>
    <s v="FY2024"/>
    <n v="2024"/>
  </r>
  <r>
    <s v="KBISP202410503"/>
    <s v="PC130LC-10M0, ENGINE ASSY, MUFFLER, BROKEN,   "/>
    <s v="PC130LC-10M0"/>
    <s v="B20456"/>
    <x v="13"/>
    <s v="Abnormal noise on muffler (before countermeasure)"/>
    <m/>
    <m/>
    <n v="694"/>
    <s v="Closed"/>
    <d v="2024-10-02T00:00:00"/>
    <m/>
    <d v="2024-05-21T00:00:00"/>
    <d v="2024-07-11T00:00:00"/>
    <s v="6271-11-5230"/>
    <s v="MUFFLER"/>
    <s v="ENGINE ASSY"/>
    <s v="BROKEN"/>
    <s v="KDB (Plant) (51)"/>
    <m/>
    <s v="Completed"/>
    <d v="2024-10-02T00:00:00"/>
    <x v="5"/>
    <s v="KBI (9447)"/>
    <d v="2024-10-03T00:00:00"/>
    <m/>
    <s v="Caio Rodrigues"/>
    <s v="213ESD"/>
    <n v="1"/>
    <s v="FY2024"/>
    <n v="2024"/>
  </r>
  <r>
    <s v="KBIMB202410508"/>
    <s v="PC130LC-10M0, ACCESSORY &amp; PARTS, TURBOCHARGER, DEFECTIVE APPEARANCE, QUEBRA PALHETAS TURBINA  "/>
    <s v="PC130LC-10M0"/>
    <s v="B20216"/>
    <x v="19"/>
    <s v="Turbocharger"/>
    <s v="QUEBRA PALHETAS TURBINA"/>
    <m/>
    <n v="1962"/>
    <s v="Sub.Received"/>
    <d v="2024-09-19T00:00:00"/>
    <d v="2024-09-20T00:00:00"/>
    <d v="2022-11-24T00:00:00"/>
    <d v="2023-11-01T00:00:00"/>
    <s v="6271-81-8100"/>
    <s v="TURBOCHARGER"/>
    <s v="ACCESSORY &amp; PARTS"/>
    <s v="DEFECTIVE APPEARANCE"/>
    <s v="KDB (Plant) (51)"/>
    <s v="KBI - Construction Service"/>
    <s v="In Process"/>
    <d v="2024-10-08T00:00:00"/>
    <x v="3"/>
    <s v="KBI (9447)"/>
    <d v="2024-10-08T00:00:00"/>
    <m/>
    <s v="Higor Alves"/>
    <s v="213MGC"/>
    <n v="19"/>
    <s v="FY2024"/>
    <n v="2024"/>
  </r>
  <r>
    <s v="KBISP202409519"/>
    <s v="PC130LC-10M0, ARM, pin, DETERIORATION,   "/>
    <s v="PC130LC-10M0"/>
    <s v="B20485"/>
    <x v="14"/>
    <s v="Bushing and Pin wear"/>
    <m/>
    <m/>
    <n v="370"/>
    <s v="Sub.Received"/>
    <d v="2024-09-26T00:00:00"/>
    <m/>
    <d v="2024-06-27T00:00:00"/>
    <d v="2024-07-31T00:00:00"/>
    <s v="22B-70-22550"/>
    <s v="pin"/>
    <s v="ARM"/>
    <s v="DETERIORATION"/>
    <s v="KDB (Plant) (51)"/>
    <s v="KBI - Construction Service"/>
    <s v="In Process"/>
    <d v="2024-09-26T00:00:00"/>
    <x v="5"/>
    <s v="KBI (9447)"/>
    <d v="2024-10-09T00:00:00"/>
    <m/>
    <s v="Caio Rodrigues"/>
    <s v="213ESD"/>
    <n v="13"/>
    <s v="FY2024"/>
    <n v="2024"/>
  </r>
  <r>
    <s v="KBISP202410512"/>
    <s v="PC130LC-10M0, ARM, Mangueira de acionamento, ENTER/LEAKS, MALEJAMENTO NA MANGUEIRA DE ACIONAMENTO  "/>
    <s v="PC130LC-10M0"/>
    <s v="B20521"/>
    <x v="5"/>
    <s v="Seal leak"/>
    <s v="MALEJAMENTO NA MANGUEIRA DE ACIONAMENTO"/>
    <m/>
    <n v="7"/>
    <s v="Plant.QA Approved"/>
    <d v="2024-09-12T00:00:00"/>
    <m/>
    <d v="2024-08-21T00:00:00"/>
    <s v="12/30/1899"/>
    <s v="204-62-72341"/>
    <s v="Mangueira de acionamento"/>
    <s v="ARM"/>
    <s v="ENTER/LEAKS"/>
    <s v="KDB (Plant) (51)"/>
    <s v="KDB - Quality Assurance"/>
    <s v="In Process"/>
    <d v="2024-10-10T00:00:00"/>
    <x v="5"/>
    <s v="KBI (9447)"/>
    <d v="2024-10-10T00:00:00"/>
    <m/>
    <s v="Gabriel Bonifacio"/>
    <s v="213SPB"/>
    <n v="28"/>
    <s v="FY2024"/>
    <n v="2024"/>
  </r>
  <r>
    <s v="KBIMB202410514"/>
    <s v="PC130LC-10M0, AIR CONDITIONER, CONDENSER, MALFUNCTION, TRINCA NA SOLDA DA CONDENSADORA  "/>
    <s v="PC130LC-10M0"/>
    <s v="B20426"/>
    <x v="4"/>
    <s v="Condensor crack"/>
    <s v="TRINCA NA SOLDA DA CONDENSADORA"/>
    <m/>
    <n v="863"/>
    <s v="Sub.Received"/>
    <d v="2024-09-24T00:00:00"/>
    <d v="2024-09-25T00:00:00"/>
    <d v="2024-04-23T00:00:00"/>
    <d v="2024-05-06T00:00:00"/>
    <s v="2A5-979-1282"/>
    <s v="CONDENSER"/>
    <s v="AIR CONDITIONER"/>
    <s v="MALFUNCTION"/>
    <s v="KDB (Plant) (51)"/>
    <s v="KBI - Construction Service"/>
    <s v="In Process"/>
    <d v="2024-10-17T00:00:00"/>
    <x v="3"/>
    <s v="KBI (9447)"/>
    <d v="2024-10-17T00:00:00"/>
    <m/>
    <s v="Higor Alves"/>
    <s v="213MGC"/>
    <n v="23"/>
    <s v="FY2024"/>
    <n v="2024"/>
  </r>
  <r>
    <s v="KBIPR202410508"/>
    <s v="PC130-10M0, ACCESSORY &amp; PARTS, TAMPA DA PROTEÇÃO, DEFECTIVE ADJUSTMENT, TAMPA DO PINO DOS CILINDROS FROUXAS  "/>
    <s v="PC130-10M0"/>
    <s v="B20431"/>
    <x v="26"/>
    <s v="Boom cylinder cover"/>
    <s v="TAMPA DO PINO DOS CILINDROS FROUXAS"/>
    <m/>
    <n v="82"/>
    <s v="Sub.Received"/>
    <d v="2024-10-14T00:00:00"/>
    <m/>
    <d v="2024-04-29T00:00:00"/>
    <d v="2024-07-18T00:00:00"/>
    <s v="22B-70-21920"/>
    <s v="TAMPA DA PROTEÇÃO"/>
    <s v="ACCESSORY &amp; PARTS"/>
    <s v="DEFECTIVE ADJUSTMENT"/>
    <s v="KDB (Plant) (51)"/>
    <s v="KBI - Construction Service"/>
    <s v="In Process"/>
    <d v="2024-10-21T00:00:00"/>
    <x v="1"/>
    <s v="KBI (9447)"/>
    <d v="2024-10-21T00:00:00"/>
    <s v="O serviço foi realizado durante a primeira inspeção obrigatória, e a elaboração da TSI é para efeito de registro da falha."/>
    <s v="Neia Sene"/>
    <s v="213PRB"/>
    <n v="7"/>
    <s v="FY2024"/>
    <n v="2024"/>
  </r>
  <r>
    <s v="KBI1F202410504"/>
    <s v="PC130LC-10M0, CAB ASS'Y GROUP, TETO, DEFECTIVE ADJUSTMENT,   "/>
    <s v="PC130LC-10M0"/>
    <s v="B20527"/>
    <x v="12"/>
    <s v="Entering water"/>
    <m/>
    <m/>
    <n v="3"/>
    <s v="Sub.Received"/>
    <d v="2024-10-18T00:00:00"/>
    <m/>
    <d v="2024-09-04T00:00:00"/>
    <m/>
    <s v="SEM PECA"/>
    <s v="TETO"/>
    <s v="CAB ASS'Y GROUP"/>
    <s v="DEFECTIVE ADJUSTMENT"/>
    <s v="KDB (Plant) (51)"/>
    <s v="KBI - Construction Service"/>
    <s v="In Process"/>
    <d v="2024-10-22T00:00:00"/>
    <x v="8"/>
    <s v="KBI (9447)"/>
    <d v="2024-10-22T00:00:00"/>
    <m/>
    <s v="Franciele Ferreira"/>
    <s v="213RSC"/>
    <n v="4"/>
    <s v="FY2024"/>
    <n v="2024"/>
  </r>
  <r>
    <s v="KBI1F202410505"/>
    <s v="PC130-10M0, CAB ASS'Y GROUP, TETO DA CABINE, DEFECTIVE ADJUSTMENT,   "/>
    <s v="PC130-10M0"/>
    <s v="B20486"/>
    <x v="12"/>
    <s v="Entering water"/>
    <m/>
    <m/>
    <n v="5"/>
    <s v="Sub.Received"/>
    <d v="2024-10-16T00:00:00"/>
    <m/>
    <d v="2024-06-28T00:00:00"/>
    <m/>
    <s v="SEM PECA"/>
    <s v="TETO DA CABINE"/>
    <s v="CAB ASS'Y GROUP"/>
    <s v="DEFECTIVE ADJUSTMENT"/>
    <s v="KDB (Plant) (51)"/>
    <s v="KBI - Construction Service"/>
    <s v="In Process"/>
    <d v="2024-10-22T00:00:00"/>
    <x v="8"/>
    <s v="KBI (9447)"/>
    <d v="2024-10-22T00:00:00"/>
    <m/>
    <s v="Franciele Ferreira"/>
    <s v="213RSC"/>
    <n v="6"/>
    <s v="FY2024"/>
    <n v="2024"/>
  </r>
  <r>
    <s v="KBIMB202410515"/>
    <s v="PC130-10M0, ENGINE ASSY, turbina, ENTER/LEAKS, folga axial e passagem de óleo  "/>
    <s v="PC130-10M0"/>
    <s v="B20430"/>
    <x v="19"/>
    <s v="Turbocharger"/>
    <s v="folga axial e passagem de óleo"/>
    <m/>
    <n v="1054"/>
    <s v="Sub.Received"/>
    <d v="2024-10-16T00:00:00"/>
    <m/>
    <d v="2024-04-24T00:00:00"/>
    <m/>
    <s v="6271-81-8100"/>
    <s v="turbina"/>
    <s v="ENGINE ASSY"/>
    <s v="ENTER/LEAKS"/>
    <s v="KDB (Plant) (51)"/>
    <s v="KBI - Construction Service"/>
    <s v="In Process"/>
    <d v="2024-10-22T00:00:00"/>
    <x v="3"/>
    <s v="KBI (9447)"/>
    <d v="2024-10-22T00:00:00"/>
    <m/>
    <s v="Whasterley Silva"/>
    <s v="213I"/>
    <n v="6"/>
    <s v="FY2024"/>
    <n v="2024"/>
  </r>
  <r>
    <s v="KBISP202410520"/>
    <s v="PC130LC-10M0, ACCESSORY &amp; PARTS, cover, DEFECTIVE APPEARANCE, ARRANHÕES NO INTERIOR DA CABINE  "/>
    <s v="PC130LC-10M0"/>
    <s v="B20536"/>
    <x v="12"/>
    <s v="Cabin console sctrach"/>
    <s v="ARRANHÕES NO INTERIOR DA CABINE"/>
    <m/>
    <n v="4"/>
    <s v="Plant.QA Approved"/>
    <d v="2024-10-23T00:00:00"/>
    <m/>
    <d v="2024-09-13T00:00:00"/>
    <m/>
    <s v="20Y-53-12122"/>
    <s v="cover"/>
    <s v="ACCESSORY &amp; PARTS"/>
    <s v="DEFECTIVE APPEARANCE"/>
    <s v="KDB (Plant) (51)"/>
    <s v="KDB - Quality Assurance"/>
    <s v="In Process"/>
    <d v="2024-10-23T00:00:00"/>
    <x v="5"/>
    <s v="KBI (9447)"/>
    <d v="2024-10-23T00:00:00"/>
    <m/>
    <s v="Caio Rodrigues"/>
    <s v="213ESD"/>
    <n v="0"/>
    <s v="FY2024"/>
    <n v="2024"/>
  </r>
  <r>
    <s v="KBISP202410523"/>
    <s v="PC130LC-10M0, ENGINE ASSY, MUFFLER, MALFUNCTION,   "/>
    <s v="PC130LC-10M0"/>
    <s v="B20384"/>
    <x v="13"/>
    <s v="Abnormal noise on muffler (before countermeasure)"/>
    <m/>
    <m/>
    <n v="488"/>
    <s v="Sub.Submitted"/>
    <d v="2024-08-20T00:00:00"/>
    <d v="2024-10-28T00:00:00"/>
    <d v="2023-12-13T00:00:00"/>
    <d v="2024-03-13T00:00:00"/>
    <s v="6271-11-5230"/>
    <s v="MUFFLER"/>
    <s v="ENGINE ASSY"/>
    <s v="MALFUNCTION"/>
    <s v="KDB (Plant) (51)"/>
    <s v="Pending Requests"/>
    <s v="Pending Request"/>
    <d v="2024-10-28T00:00:00"/>
    <x v="5"/>
    <s v="KBI (9447)"/>
    <d v="2024-10-28T00:00:00"/>
    <m/>
    <s v="Caio Rodrigues"/>
    <s v="213ESD"/>
    <n v="69"/>
    <s v="FY2024"/>
    <n v="2024"/>
  </r>
  <r>
    <s v="KBIPR202411500"/>
    <s v="PC130-10M0, ACCESSORY &amp; PARTS, PINO, DEFECTIVE ADJUSTMENT, DESGASTE NOS COMPONENTES DE ARTICULAÇÃO  "/>
    <s v="PC130-10M0"/>
    <s v="B20462"/>
    <x v="14"/>
    <s v="Bushing and Pin wear"/>
    <s v="DESGASTE NOS COMPONENTES DE ARTICULAÇÃO"/>
    <m/>
    <n v="401"/>
    <s v="Sub.Received"/>
    <d v="2024-10-16T00:00:00"/>
    <m/>
    <d v="2024-05-28T00:00:00"/>
    <d v="2024-07-08T00:00:00"/>
    <s v="X"/>
    <s v="PINO"/>
    <s v="ACCESSORY &amp; PARTS"/>
    <s v="DEFECTIVE ADJUSTMENT"/>
    <s v="KDB (Plant) (51)"/>
    <s v="KBI - Construction Service"/>
    <s v="In Process"/>
    <d v="2024-11-01T00:00:00"/>
    <x v="1"/>
    <s v="KBI (9447)"/>
    <d v="2024-11-01T00:00:00"/>
    <s v="Não realizamos as medidas de conferência de alinhamento de olhais devido ao ferramental e experiência necessária para tal. Será necessário contratar um serviço de usinagem para verificação de medidas de alojamentos e concentricidade de olhais e também para mandrilhamento dos olhais da lança."/>
    <s v="Neia Sene"/>
    <s v="213PRB"/>
    <n v="16"/>
    <s v="FY2024"/>
    <n v="2024"/>
  </r>
  <r>
    <s v="KBISP202411500"/>
    <s v="PC130LC-10M0, BOOM, Parafuso da bolacha de fixação do cilindro da lança do lado esquerdo, DEFECTIVE ADJUSTMENT, Parafusos da bolacha de fixação soltos  "/>
    <s v="PC130LC-10M0"/>
    <s v="B20521"/>
    <x v="26"/>
    <s v="Boom cylinder cover"/>
    <s v="Parafusos da bolacha de fixação soltos"/>
    <m/>
    <n v="198"/>
    <s v="Sub.Received"/>
    <d v="2024-10-31T00:00:00"/>
    <m/>
    <d v="2024-08-21T00:00:00"/>
    <m/>
    <s v="01010-81435"/>
    <s v="Parafuso da bolacha de fixação do cilindro da lança do lado esquerdo"/>
    <s v="BOOM"/>
    <s v="DEFECTIVE ADJUSTMENT"/>
    <s v="KDB (Plant) (51)"/>
    <s v="KBI - Construction Service"/>
    <s v="In Process"/>
    <d v="2024-11-05T00:00:00"/>
    <x v="5"/>
    <s v="KBI (9447)"/>
    <d v="2024-11-05T00:00:00"/>
    <m/>
    <s v="Gabriel Bonifacio"/>
    <s v="213SPB"/>
    <n v="5"/>
    <s v="FY2024"/>
    <n v="2024"/>
  </r>
  <r>
    <s v="KBIMB202411505"/>
    <s v="PC130LC-10M0, MACHINE, WEIGHT, DEFECTIVE APPEARANCE, FALHA NA PINTURA  "/>
    <s v="PC130LC-10M0"/>
    <s v="B20569"/>
    <x v="1"/>
    <s v="Painting"/>
    <s v="FALHA NA PINTURA"/>
    <m/>
    <n v="3"/>
    <s v="Plant.QA Approved"/>
    <d v="2024-11-08T00:00:00"/>
    <m/>
    <d v="2024-11-01T00:00:00"/>
    <m/>
    <s v="204-46-B1010"/>
    <s v="WEIGHT"/>
    <s v="MACHINE"/>
    <s v="DEFECTIVE APPEARANCE"/>
    <s v="KDB (Plant) (51)"/>
    <s v="KDB - Quality Assurance"/>
    <s v="In Process"/>
    <d v="2024-11-12T00:00:00"/>
    <x v="3"/>
    <s v="KBI (9447)"/>
    <d v="2024-11-12T00:00:00"/>
    <m/>
    <s v="Higor Alves"/>
    <s v="213MGC"/>
    <n v="4"/>
    <s v="FY2024"/>
    <n v="2024"/>
  </r>
  <r>
    <s v="KBI1F202411507"/>
    <s v="PC130LC-10M0, OTHERS, PARAFUSO, OTHER, TAMPA DO CILINDRO  "/>
    <s v="PC130LC-10M0"/>
    <s v="B20501"/>
    <x v="26"/>
    <s v="Boom cylinder cover"/>
    <s v="TAMPA DO CILINDRO"/>
    <s v="PC130LC-10M0, OTHERS, PARAFUSO, OTHER,   "/>
    <n v="303"/>
    <s v="Closed"/>
    <d v="2024-10-18T00:00:00"/>
    <d v="2024-10-22T00:00:00"/>
    <d v="2024-07-29T00:00:00"/>
    <d v="2024-09-13T00:00:00"/>
    <s v="01643-31445"/>
    <s v="PARAFUSO"/>
    <s v="OTHERS"/>
    <s v="OTHER"/>
    <s v="KDB (Plant) (51)"/>
    <m/>
    <s v="Completed"/>
    <d v="2024-11-14T00:00:00"/>
    <x v="8"/>
    <s v="KBI (9447)"/>
    <d v="2024-11-14T00:00:00"/>
    <m/>
    <s v="Franciele Ferreira"/>
    <s v="213RSC"/>
    <n v="27"/>
    <s v="FY2024"/>
    <n v="2024"/>
  </r>
  <r>
    <s v="KBIPR202411511"/>
    <s v="PC130LC-10M0, ACCESSORY &amp; PARTS, CHICOTE, DEFECTIVE APPEARANCE, FIO CHICOTE DA BUZINA ROMPIDO  "/>
    <s v="PC130LC-10M0"/>
    <s v="B20487"/>
    <x v="8"/>
    <s v="Nozzler wiring"/>
    <s v="FIO CHICOTE DA BUZINA ROMPIDO"/>
    <m/>
    <n v="457"/>
    <s v="Sub.Received"/>
    <d v="2024-11-11T00:00:00"/>
    <m/>
    <d v="2024-06-28T00:00:00"/>
    <d v="2024-08-01T00:00:00"/>
    <s v="204-06-72233"/>
    <s v="CHICOTE"/>
    <s v="ACCESSORY &amp; PARTS"/>
    <s v="DEFECTIVE APPEARANCE"/>
    <s v="KDB (Plant) (51)"/>
    <s v="KBI - Construction Service"/>
    <s v="In Process"/>
    <d v="2024-11-21T00:00:00"/>
    <x v="1"/>
    <s v="KBI (9447)"/>
    <d v="2024-11-21T00:00:00"/>
    <s v="Para corrigir a falha sem interferência de corte do chicote seria necessário a troca do chicote completo, pois o fio rompido está do lado do conector do chicote e não no botão da buzina. Acreditamos na possibilidade de  realizar o reparo aplicando um conector macho + fêmea paralelo, pois não há disponibilidade de compra apenas do conector original.  Mas para essa possibilidade precisamos do parecer da Fabrica."/>
    <s v="Neia Sene"/>
    <s v="213PRB"/>
    <n v="10"/>
    <s v="FY2024"/>
    <n v="2024"/>
  </r>
  <r>
    <s v="KBI1F202411509"/>
    <s v="PC130LC-10M0, CAB ASS'Y GROUP, RESERVATORIO, MALFUNCTION,   "/>
    <s v="PC130LC-10M0"/>
    <s v="B20493"/>
    <x v="12"/>
    <s v="Windshield cleaner"/>
    <m/>
    <m/>
    <n v="350"/>
    <s v="Plant.Confirmed"/>
    <d v="2024-11-11T00:00:00"/>
    <d v="2024-11-13T00:00:00"/>
    <d v="2024-07-19T00:00:00"/>
    <d v="2024-08-05T00:00:00"/>
    <s v="21T-06-11350"/>
    <s v="RESERVATORIO"/>
    <s v="CAB ASS'Y GROUP"/>
    <s v="MALFUNCTION"/>
    <s v="KDB (Plant) (51)"/>
    <s v="KDB - Quality Assurance"/>
    <s v="In Process"/>
    <d v="2024-11-26T00:00:00"/>
    <x v="8"/>
    <s v="KBI (9447)"/>
    <d v="2024-11-26T00:00:00"/>
    <m/>
    <s v="Franciele Ferreira"/>
    <s v="213RSC"/>
    <n v="15"/>
    <s v="FY2024"/>
    <n v="2024"/>
  </r>
  <r>
    <s v="KBI1F202411510"/>
    <s v="PC130LC-10M0, BOOM, TAMPA, DEFECTIVE APPEARANCE,   "/>
    <s v="PC130LC-10M0"/>
    <s v="B20470"/>
    <x v="26"/>
    <s v="Boom cylinder cover"/>
    <m/>
    <m/>
    <n v="494"/>
    <s v="Plant.Confirmed"/>
    <d v="2024-11-05T00:00:00"/>
    <d v="2024-11-07T00:00:00"/>
    <d v="2024-06-11T00:00:00"/>
    <d v="2024-08-01T00:00:00"/>
    <s v="22B-70-21930"/>
    <s v="TAMPA"/>
    <s v="BOOM"/>
    <s v="DEFECTIVE APPEARANCE"/>
    <s v="KDB (Plant) (51)"/>
    <s v="KDB - Quality Assurance"/>
    <s v="In Process"/>
    <d v="2024-11-27T00:00:00"/>
    <x v="8"/>
    <s v="KBI (9447)"/>
    <d v="2024-11-27T00:00:00"/>
    <m/>
    <s v="Franciele Ferreira"/>
    <s v="213RSC"/>
    <n v="22"/>
    <s v="FY2024"/>
    <n v="2024"/>
  </r>
  <r>
    <s v="KBIMB202411511"/>
    <s v="PC130LC-10M0, HYDRAULIC CONTROL VALVE, BOOM CYLINDER, ENTER/LEAKS, CAIMENTO HIDRÁULICO - LANÇA  "/>
    <s v="PC130LC-10M0"/>
    <s v="B20216"/>
    <x v="21"/>
    <s v="Hydraulic trim"/>
    <s v="CAIMENTO HIDRÁULICO - LANÇA"/>
    <m/>
    <n v="2455"/>
    <s v="Plant.Confirmed"/>
    <d v="2024-11-25T00:00:00"/>
    <m/>
    <d v="2022-11-24T00:00:00"/>
    <d v="2023-11-01T00:00:00"/>
    <s v="707-G1-X1710"/>
    <s v="BOOM CYLINDER"/>
    <s v="HYDRAULIC CONTROL VALVE"/>
    <s v="ENTER/LEAKS"/>
    <s v="KDB (Plant) (51)"/>
    <s v="KDB - Quality Assurance"/>
    <s v="In Process"/>
    <d v="2024-11-28T00:00:00"/>
    <x v="3"/>
    <s v="KBI (9447)"/>
    <d v="2024-11-28T00:00:00"/>
    <m/>
    <s v="Higor Alves"/>
    <s v="213MGC"/>
    <n v="3"/>
    <s v="FY2024"/>
    <n v="2024"/>
  </r>
  <r>
    <s v="KBISP202411515"/>
    <s v="PC130LC-10M0, ARM, pin, OTHER,   "/>
    <s v="PC130LC-10M0"/>
    <s v="B20312"/>
    <x v="14"/>
    <s v="Bushing and Pin wear"/>
    <m/>
    <m/>
    <n v="2075"/>
    <s v="Plant.Confirmed"/>
    <d v="2024-11-19T00:00:00"/>
    <m/>
    <d v="2023-08-07T00:00:00"/>
    <d v="2023-10-03T00:00:00"/>
    <s v="22b-70-22550"/>
    <s v="pin"/>
    <s v="ARM"/>
    <s v="OTHER"/>
    <s v="KDB (Plant) (51)"/>
    <s v="KDB - Quality Assurance"/>
    <s v="In Process"/>
    <d v="2024-11-29T00:00:00"/>
    <x v="5"/>
    <s v="KBI (9447)"/>
    <d v="2024-11-29T00:00:00"/>
    <s v="Primeira máquina do cliente ."/>
    <s v="Caio Rodrigues"/>
    <s v="213ESD"/>
    <n v="10"/>
    <s v="FY2024"/>
    <n v="2024"/>
  </r>
  <r>
    <s v="KBISP202411516"/>
    <s v="PC130LC-10M0, OTHERS, MUFFLER, ABNOMAL NOISE, RUÍDO ANORMAL - SILENCIOSO  "/>
    <s v="PC130LC-10M0"/>
    <s v="B20368"/>
    <x v="13"/>
    <s v="Abnormal noise on muffler (before countermeasure)"/>
    <s v="RUÍDO ANORMAL - SILENCIOSO"/>
    <m/>
    <n v="505"/>
    <s v="Plant.Confirmed"/>
    <d v="2024-11-29T00:00:00"/>
    <m/>
    <d v="2023-11-15T00:00:00"/>
    <d v="2024-08-23T00:00:00"/>
    <s v="6271-11-5230"/>
    <s v="MUFFLER"/>
    <s v="OTHERS"/>
    <s v="ABNOMAL NOISE"/>
    <s v="KDB (Plant) (51)"/>
    <s v="KDB - Quality Assurance"/>
    <s v="In Process"/>
    <d v="2024-11-29T00:00:00"/>
    <x v="5"/>
    <s v="KBI (9447)"/>
    <d v="2024-11-29T00:00:00"/>
    <m/>
    <s v="Caio Rodrigues"/>
    <s v="213ESD"/>
    <n v="0"/>
    <s v="FY2024"/>
    <n v="2024"/>
  </r>
  <r>
    <s v="KBISP202412508"/>
    <s v="PC130LC-10M0, HYDRAULIC CONTROL VALVE, 02896-61018, BROKEN,   "/>
    <s v="PC130LC-10M0"/>
    <s v="B20459"/>
    <x v="21"/>
    <m/>
    <m/>
    <m/>
    <n v="12"/>
    <s v="Sub.Received"/>
    <d v="2024-12-06T00:00:00"/>
    <m/>
    <d v="2024-05-27T00:00:00"/>
    <d v="2024-08-27T00:00:00"/>
    <s v="02896-61018"/>
    <s v="02896-61018"/>
    <s v="HYDRAULIC CONTROL VALVE"/>
    <s v="BROKEN"/>
    <s v="KDB (Plant) (51)"/>
    <s v="KBI - Construction Service"/>
    <s v="In Process"/>
    <d v="2024-12-06T00:00:00"/>
    <x v="5"/>
    <s v="KBI (9447)"/>
    <d v="2024-12-10T00:00:00"/>
    <m/>
    <s v="Caio Rodrigues"/>
    <s v="213ESD"/>
    <n v="4"/>
    <s v="FY2024"/>
    <n v="2024"/>
  </r>
  <r>
    <s v="KBI1F202412501"/>
    <s v="PC130-10M0, OTHERS, CONECTOR, OTHER, EQUIPAMENTO NÃO ACIONA BUZINA  "/>
    <s v="PC130-10M0"/>
    <s v="B20461"/>
    <x v="8"/>
    <s v="Nozzler wiring"/>
    <s v="EQUIPAMENTO NÃO ACIONA BUZINA"/>
    <m/>
    <n v="578"/>
    <s v="Sub.Received"/>
    <d v="2024-12-06T00:00:00"/>
    <d v="2024-12-09T00:00:00"/>
    <d v="2024-05-28T00:00:00"/>
    <d v="2024-09-03T00:00:00"/>
    <s v="SEM PECA"/>
    <s v="CONECTOR"/>
    <s v="OTHERS"/>
    <s v="OTHER"/>
    <s v="KDB (Plant) (51)"/>
    <s v="KBI - Construction Service"/>
    <s v="In Process"/>
    <d v="2024-12-11T00:00:00"/>
    <x v="8"/>
    <s v="KBI (9447)"/>
    <d v="2024-12-11T00:00:00"/>
    <m/>
    <s v="Franciele Ferreira"/>
    <s v="213RSC"/>
    <n v="5"/>
    <s v="FY2024"/>
    <n v="2024"/>
  </r>
  <r>
    <s v="KBI1F202412503"/>
    <s v="PC130LC-10M0, ACCESSORY &amp; PARTS, SEM PECA, DEFECTIVE APPEARANCE, TINTA DESCASCANDO  "/>
    <s v="PC130LC-10M0"/>
    <s v="B20501"/>
    <x v="1"/>
    <s v="Painting"/>
    <s v="TINTA DESCASCANDO"/>
    <m/>
    <n v="750"/>
    <s v="Sub.Received"/>
    <d v="2024-12-12T00:00:00"/>
    <m/>
    <d v="2024-07-29T00:00:00"/>
    <d v="2024-09-13T00:00:00"/>
    <s v="SEM PECA"/>
    <s v="SEM PECA"/>
    <s v="ACCESSORY &amp; PARTS"/>
    <s v="DEFECTIVE APPEARANCE"/>
    <s v="KDB (Plant) (51)"/>
    <s v="KBI - Construction Service"/>
    <s v="In Process"/>
    <d v="2024-12-17T00:00:00"/>
    <x v="8"/>
    <s v="KBI (9447)"/>
    <d v="2024-12-17T00:00:00"/>
    <m/>
    <s v="Franciele Ferreira"/>
    <s v="213RSC"/>
    <n v="5"/>
    <s v="FY2024"/>
    <n v="2024"/>
  </r>
  <r>
    <s v="KBIMB202412512"/>
    <s v="PC130LC-10M0, HYDRAULIC CONTROL VALVE, ACCUMULATOR, DEFECTIVE APPEARANCE, Acumulador hidráulico sem funcionamento  "/>
    <s v="PC130LC-10M0"/>
    <s v="B20216"/>
    <x v="5"/>
    <s v="Hose seal"/>
    <s v="Acumulador hidráulico sem funcionamento"/>
    <m/>
    <n v="2547"/>
    <s v="Sub.Received"/>
    <d v="2024-11-28T00:00:00"/>
    <d v="2024-12-06T00:00:00"/>
    <d v="2022-11-24T00:00:00"/>
    <d v="2023-11-01T00:00:00"/>
    <s v="22U-60-21331"/>
    <s v="ACCUMULATOR"/>
    <s v="HYDRAULIC CONTROL VALVE"/>
    <s v="DEFECTIVE APPEARANCE"/>
    <s v="KDB (Plant) (51)"/>
    <s v="KBI - Construction Service"/>
    <s v="In Process"/>
    <d v="2024-12-26T00:00:00"/>
    <x v="3"/>
    <s v="KBI (9447)"/>
    <d v="2024-12-26T00:00:00"/>
    <m/>
    <s v="Higor Alves"/>
    <s v="213MGC"/>
    <n v="28"/>
    <s v="FY2024"/>
    <n v="2024"/>
  </r>
  <r>
    <s v="KBIPR202412519"/>
    <s v="PC130LC-10M0, ACCESSORY &amp; PARTS, CHICOTE, DEFECTIVE ADJUSTMENT, CONECTOR DA BUZINA COM FIO ROMPIDO  "/>
    <s v="PC130LC-10M0"/>
    <s v="B20457"/>
    <x v="8"/>
    <s v="Nozzler wiring"/>
    <s v="CONECTOR DA BUZINA COM FIO ROMPIDO"/>
    <m/>
    <n v="653"/>
    <s v="Sub.Received"/>
    <d v="2024-12-20T00:00:00"/>
    <d v="2024-12-23T00:00:00"/>
    <d v="2024-05-22T00:00:00"/>
    <d v="2024-06-25T00:00:00"/>
    <s v="204-06-72233"/>
    <s v="CHICOTE"/>
    <s v="ACCESSORY &amp; PARTS"/>
    <s v="DEFECTIVE ADJUSTMENT"/>
    <s v="KDB (Plant) (51)"/>
    <s v="KBI - Construction Service"/>
    <s v="In Process"/>
    <d v="2024-12-30T00:00:00"/>
    <x v="1"/>
    <s v="KBI (9447)"/>
    <d v="2024-12-30T00:00:00"/>
    <s v="Foi realizado ação corretiva conforme solução sugerida na TSI-KBIPR202411511 e autorizada conforme chamado 1124-003979. Onde o equipamento apresentou a mesma falha em questão."/>
    <s v="Neia Sene"/>
    <s v="213PRB"/>
    <n v="10"/>
    <s v="FY2024"/>
    <n v="2024"/>
  </r>
  <r>
    <s v="KBISP202509518"/>
    <s v="PC130LC-10M0, ARM, Arm, FRACTURE,   "/>
    <s v="PC130LC-10M0"/>
    <s v="B20673"/>
    <x v="14"/>
    <s v="Reinforcement - Arm crack - AB25018 - FCB25016"/>
    <m/>
    <m/>
    <n v="3"/>
    <s v="Plant.Confirmed"/>
    <d v="2025-08-19T00:00:00"/>
    <m/>
    <d v="2025-04-2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7"/>
    <s v="PC130LC-10M0, ARM, Arm, FRACTURE,   "/>
    <s v="PC130LC-10M0"/>
    <s v="B20741"/>
    <x v="14"/>
    <s v="Reinforcement - Arm crack - AB25018 - FCB25016"/>
    <m/>
    <m/>
    <n v="3"/>
    <s v="Plant.Confirmed"/>
    <d v="2025-08-19T00:00:00"/>
    <m/>
    <d v="2025-06-27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6"/>
    <s v="PC130-10M0, ARM, Arm, FRACTURE,   "/>
    <s v="PC130-10M0"/>
    <s v="B20693"/>
    <x v="14"/>
    <s v="Reinforcement - Arm crack - AB25018 - FCB25016"/>
    <m/>
    <m/>
    <n v="3"/>
    <s v="Plant.Confirmed"/>
    <d v="2025-08-19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5"/>
    <s v="PC130LC-10M0, ARM, Arm, FRACTURE,   "/>
    <s v="PC130LC-10M0"/>
    <s v="B20674"/>
    <x v="14"/>
    <s v="Reinforcement - Arm crack - AB25018 - FCB25016"/>
    <m/>
    <m/>
    <n v="3"/>
    <s v="Plant.Confirmed"/>
    <d v="2025-08-19T00:00:00"/>
    <m/>
    <d v="2025-04-2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3"/>
    <s v="FY2025"/>
    <n v="2025"/>
  </r>
  <r>
    <s v="KBISP202509514"/>
    <s v="PC130-10M0, ARM, Arm, FRACTURE,   "/>
    <s v="PC130-10M0"/>
    <s v="B20594"/>
    <x v="14"/>
    <s v="Reinforcement - Arm crack - AB25018 - FCB25016"/>
    <m/>
    <m/>
    <n v="5"/>
    <s v="Plant.Confirmed"/>
    <d v="2025-08-18T00:00:00"/>
    <m/>
    <d v="2024-12-2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3"/>
    <s v="PC130LC-10M0, ARM, Arm, FRACTURE,   "/>
    <s v="PC130LC-10M0"/>
    <s v="B20730"/>
    <x v="14"/>
    <s v="Reinforcement - Arm crack - AB25018 - FCB25016"/>
    <m/>
    <m/>
    <n v="3"/>
    <s v="Plant.Confirmed"/>
    <d v="2025-08-18T00:00:00"/>
    <m/>
    <d v="2025-06-1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2"/>
    <s v="PC130LC-10M0, ARM, Arm, FRACTURE,   "/>
    <s v="PC130LC-10M0"/>
    <s v="B20706"/>
    <x v="14"/>
    <s v="Reinforcement - Arm crack - AB25018 - FCB25016"/>
    <m/>
    <m/>
    <n v="3"/>
    <s v="Plant.Confirmed"/>
    <d v="2025-08-18T00:00:00"/>
    <m/>
    <d v="2025-05-20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4"/>
    <s v="FY2025"/>
    <n v="2025"/>
  </r>
  <r>
    <s v="KBISP202509511"/>
    <s v="PC130-10M0, ARM, Arm, FRACTURE,   "/>
    <s v="PC130-10M0"/>
    <s v="B20695"/>
    <x v="14"/>
    <s v="Reinforcement - Arm crack - AB25018 - FCB25016"/>
    <m/>
    <m/>
    <n v="4"/>
    <s v="Plant.Confirmed"/>
    <d v="2025-08-16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6"/>
    <s v="FY2025"/>
    <n v="2025"/>
  </r>
  <r>
    <s v="KBISP202509509"/>
    <s v="PC130-10M0, ARM, Arm, FRACTURE,   "/>
    <s v="PC130-10M0"/>
    <s v="B20692"/>
    <x v="14"/>
    <s v="Reinforcement - Arm crack - AB25018 - FCB25016"/>
    <m/>
    <m/>
    <n v="3"/>
    <s v="Plant.Confirmed"/>
    <d v="2025-08-15T00:00:00"/>
    <m/>
    <d v="2025-04-29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8"/>
    <s v="PC130LC-10M0, ARM, Arm, FRACTURE,   "/>
    <s v="PC130LC-10M0"/>
    <s v="B20733"/>
    <x v="14"/>
    <s v="Reinforcement - Arm crack - AB25018 - FCB25016"/>
    <m/>
    <m/>
    <n v="4"/>
    <s v="Plant.Confirmed"/>
    <d v="2025-08-15T00:00:00"/>
    <m/>
    <d v="2025-06-23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7"/>
    <s v="PC130-10M0, ARM, Arm, FRACTURE,   "/>
    <s v="PC130-10M0"/>
    <s v="B20690"/>
    <x v="14"/>
    <s v="Reinforcement - Arm crack - AB25018 - FCB25016"/>
    <m/>
    <m/>
    <n v="3"/>
    <s v="Plant.Confirmed"/>
    <d v="2025-08-15T00:00:00"/>
    <m/>
    <d v="2025-04-28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6"/>
    <s v="PC130LC-10M0, ARM, Arm, FRACTURE,   "/>
    <s v="PC130LC-10M0"/>
    <s v="B20735"/>
    <x v="14"/>
    <s v="Reinforcement - Arm crack - AB25018 - FCB25016"/>
    <m/>
    <m/>
    <n v="2"/>
    <s v="Plant.Confirmed"/>
    <d v="2025-08-15T00:00:00"/>
    <m/>
    <d v="2025-06-24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7"/>
    <s v="FY2025"/>
    <n v="2025"/>
  </r>
  <r>
    <s v="KBISP202509505"/>
    <s v="PC130LC-10M0, ARM, Arm, FRACTURE,   "/>
    <s v="PC130LC-10M0"/>
    <s v="B20746"/>
    <x v="14"/>
    <s v="Reinforcement - Arm crack - AB25018 - FCB25016"/>
    <m/>
    <m/>
    <n v="3"/>
    <s v="Plant.Confirmed"/>
    <d v="2025-08-14T00:00:00"/>
    <m/>
    <d v="2025-07-02T00:00:00"/>
    <d v="2025-08-19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4"/>
    <s v="PC130LC-10M0, ARM, Arm, FRACTURE,   "/>
    <s v="PC130LC-10M0"/>
    <s v="B20745"/>
    <x v="14"/>
    <s v="Reinforcement - Arm crack - AB25018 - FCB25016"/>
    <m/>
    <m/>
    <n v="2"/>
    <s v="Plant.Confirmed"/>
    <d v="2025-08-14T00:00:00"/>
    <m/>
    <d v="2025-07-02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3"/>
    <s v="PC130LC-10M0, ARM, Arm, FRACTURE,   "/>
    <s v="PC130LC-10M0"/>
    <s v="B20731"/>
    <x v="14"/>
    <s v="Reinforcement - Arm crack - AB25018 - FCB25016"/>
    <m/>
    <m/>
    <n v="4"/>
    <s v="Plant.Confirmed"/>
    <d v="2025-08-14T00:00:00"/>
    <m/>
    <d v="2025-06-18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2"/>
    <s v="PC130-10M0, ARM, Arm, FRACTURE,   "/>
    <s v="PC130-10M0"/>
    <s v="B20595"/>
    <x v="14"/>
    <s v="Reinforcement - Arm crack - AB25018 - FCB25016"/>
    <m/>
    <m/>
    <n v="3"/>
    <s v="Plant.Confirmed"/>
    <d v="2025-08-14T00:00:00"/>
    <m/>
    <d v="2024-12-26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8"/>
    <s v="FY2025"/>
    <n v="2025"/>
  </r>
  <r>
    <s v="KBISP202509501"/>
    <s v="PC130LC-10M0, ARM, Arm, FRACTURE,   "/>
    <s v="PC130LC-10M0"/>
    <s v="B20737"/>
    <x v="14"/>
    <s v="Reinforcement - Arm crack - AB25018 - FCB25016"/>
    <m/>
    <m/>
    <n v="4"/>
    <s v="Plant.Confirmed"/>
    <d v="2025-08-13T00:00:00"/>
    <m/>
    <d v="2025-06-27T00:00:00"/>
    <m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9"/>
    <s v="FY2025"/>
    <n v="2025"/>
  </r>
  <r>
    <s v="KBISP202509500"/>
    <s v="PC130LC-10M0, ARM, Arm, FRACTURE,   "/>
    <s v="PC130LC-10M0"/>
    <s v="B20732"/>
    <x v="14"/>
    <s v="Reinforcement - Arm crack - AB25018 - FCB25016"/>
    <m/>
    <m/>
    <n v="3"/>
    <s v="Plant.Confirmed"/>
    <d v="2025-08-13T00:00:00"/>
    <m/>
    <d v="2025-06-18T00:00:00"/>
    <d v="2025-07-31T00:00:00"/>
    <s v="204-70-00480"/>
    <s v="Arm"/>
    <s v="ARM"/>
    <s v="FRACTURE"/>
    <s v="KDB (Plant) (51)"/>
    <s v="KDB - Quality Assurance"/>
    <s v="In Process"/>
    <d v="2025-09-01T00:00:00"/>
    <x v="5"/>
    <s v="KBI (9447)"/>
    <d v="2025-09-01T00:00:00"/>
    <m/>
    <s v="Vinícius Barbosa"/>
    <s v="213SPA"/>
    <n v="19"/>
    <s v="FY2025"/>
    <n v="2025"/>
  </r>
  <r>
    <s v="KBISP202508516"/>
    <s v="PC130LC-10M0, BOOM, PINO, FRACTURE,   "/>
    <s v="PC130LC-10M0"/>
    <s v="B20391"/>
    <x v="2"/>
    <s v="Arm cylinder pin break - AB25032 / FCB25040"/>
    <m/>
    <m/>
    <n v="2706"/>
    <s v="Plant.Confirmed"/>
    <d v="2025-08-25T00:00:00"/>
    <m/>
    <d v="2024-02-26T00:00:00"/>
    <d v="2024-04-01T00:00:00"/>
    <s v="203-70-42122"/>
    <s v="PINO"/>
    <s v="BOOM"/>
    <s v="FRACTURE"/>
    <s v="KDB (Plant) (51)"/>
    <s v="KDB - Quality Assurance"/>
    <s v="In Process"/>
    <d v="2025-08-26T00:00:00"/>
    <x v="5"/>
    <s v="KBI (9447)"/>
    <d v="2025-08-26T00:00:00"/>
    <s v="Cliente frostista Komatsu possui Contrato de Manutenção ativo para todos Equipamentos, possui três escavadeiras hidráulias (B20391, B20588 e B20723), realiza as lubrificações e inspeções diárias. Cliente com grande histórico de aquisição de peças exclusivamente originais com o distribuidor autorizado."/>
    <s v="Gabriel Augusto"/>
    <s v="213ESD"/>
    <n v="1"/>
    <s v="FY2025"/>
    <n v="2025"/>
  </r>
  <r>
    <s v="KBISP202508514"/>
    <s v="PC130LC-10M0, BOOM, Boom, FRACTURE,   "/>
    <s v="PC130LC-10M0"/>
    <s v="B20742"/>
    <x v="14"/>
    <s v="Reinforcement - Arm crack - AB25018 - FCB25016"/>
    <m/>
    <m/>
    <n v="4"/>
    <s v="Plant.Confirmed"/>
    <d v="2025-08-13T00:00:00"/>
    <m/>
    <d v="2025-06-30T00:00:00"/>
    <m/>
    <s v="20Y-70-B6310"/>
    <s v="Boom"/>
    <s v="BOOM"/>
    <s v="FRACTURE"/>
    <s v="KDB (Plant) (51)"/>
    <s v="KDB - Quality Assurance"/>
    <s v="In Process"/>
    <d v="2025-08-26T00:00:00"/>
    <x v="5"/>
    <s v="KBI (9447)"/>
    <d v="2025-08-26T00:00:00"/>
    <m/>
    <s v="Vinícius Barbosa"/>
    <s v="213SPA"/>
    <n v="13"/>
    <s v="FY2025"/>
    <n v="2025"/>
  </r>
  <r>
    <s v="KBISP202508506"/>
    <s v="PC130LC-10M0, ARM, Arm, FRACTURE,   "/>
    <s v="PC130LC-10M0"/>
    <s v="B20252"/>
    <x v="14"/>
    <s v="Arm crack - AB25018 - FCB25016"/>
    <m/>
    <m/>
    <n v="5809"/>
    <s v="Closed"/>
    <d v="2025-08-12T00:00:00"/>
    <m/>
    <d v="2023-02-28T00:00:00"/>
    <d v="2023-07-07T00:00:00"/>
    <s v="204-70-00480"/>
    <s v="Arm"/>
    <s v="ARM"/>
    <s v="FRACTURE"/>
    <s v="KDB (Plant) (51)"/>
    <m/>
    <s v="Completed"/>
    <d v="2025-08-13T00:00:00"/>
    <x v="5"/>
    <s v="KBI (9447)"/>
    <d v="2025-08-13T00:00:00"/>
    <s v="Cliente faz todas as revisões de forma avulsa com a concessionaria, e utiliza caçamba original Komatsu _x000a_de 0,75m³."/>
    <s v="Gabriel Augusto"/>
    <s v="213ESD"/>
    <n v="1"/>
    <s v="FY2025"/>
    <n v="2025"/>
  </r>
  <r>
    <s v="KBISP202508503"/>
    <s v="PC130LC-10M0, ARM, ARM, INTERFERENCE,   "/>
    <s v="PC130LC-10M0"/>
    <s v="B20281"/>
    <x v="14"/>
    <s v="Arm interference"/>
    <m/>
    <m/>
    <n v="504"/>
    <s v="Plant.Confirmed"/>
    <d v="2025-08-08T00:00:00"/>
    <m/>
    <d v="2023-06-28T00:00:00"/>
    <d v="2023-11-30T00:00:00"/>
    <s v="204-70-00480"/>
    <s v="ARM"/>
    <s v="ARM"/>
    <s v="INTERFERENCE"/>
    <s v="KDB (Plant) (51)"/>
    <s v="KDB - Quality Assurance"/>
    <s v="In Process"/>
    <d v="2025-08-12T00:00:00"/>
    <x v="5"/>
    <s v="KBI (9447)"/>
    <d v="2025-08-13T00:00:00"/>
    <m/>
    <s v="Paulo Dias"/>
    <s v="213SPA"/>
    <n v="5"/>
    <s v="FY2025"/>
    <n v="2025"/>
  </r>
  <r>
    <s v="KBIPR202508506"/>
    <s v="PC130LC-10M0, TRACK ROLLER, ADAPTADOR, BROKEN, DENTE DA CAÇAMBA QUEBRADO  "/>
    <s v="PC130LC-10M0"/>
    <s v="B20645"/>
    <x v="7"/>
    <s v="Teeth crack"/>
    <s v="DENTE DA CAÇAMBA QUEBRADO"/>
    <m/>
    <n v="326"/>
    <s v="Plant.Confirmed"/>
    <d v="2025-07-30T00:00:00"/>
    <m/>
    <d v="2025-03-19T00:00:00"/>
    <d v="2025-07-23T00:00:00"/>
    <s v="3040P020L"/>
    <s v="ADAPTADOR"/>
    <s v="TRACK ROLLER"/>
    <s v="BROKEN"/>
    <s v="KDB (Plant) (51)"/>
    <s v="KDB - Quality Assurance"/>
    <s v="In Process"/>
    <d v="2025-08-11T00:00:00"/>
    <x v="1"/>
    <s v="KBI (9447)"/>
    <d v="2025-08-11T00:00:00"/>
    <s v="Como parte do processo corretivo, será necessária a aplicação de uma trava P020P nova, juntamente com a substituição do componente danificado."/>
    <s v="Neia Sene"/>
    <s v="213PRB"/>
    <n v="12"/>
    <s v="FY2025"/>
    <n v="2025"/>
  </r>
  <r>
    <s v="KBISP202508502"/>
    <s v="PC130LC-10M0, ARM, PLATE, CRACK, Reforço no braço  "/>
    <s v="PC130LC-10M0"/>
    <s v="B20675"/>
    <x v="14"/>
    <s v="Reinforcement - Arm crack - AB25018 - FCB25016"/>
    <s v="Reforço no braço"/>
    <m/>
    <n v="5"/>
    <s v="Plant.Confirmed"/>
    <d v="2025-08-01T00:00:00"/>
    <m/>
    <d v="2025-04-23T00:00:00"/>
    <m/>
    <s v="09134-A1681"/>
    <s v="PLATE"/>
    <s v="ARM"/>
    <s v="CRACK"/>
    <s v="KDB (Plant) (51)"/>
    <s v="KDB - Quality Assurance"/>
    <s v="In Process"/>
    <d v="2025-08-08T00:00:00"/>
    <x v="5"/>
    <s v="KBI (9447)"/>
    <d v="2025-08-08T00:00:00"/>
    <m/>
    <s v="Gabriel Bonifacio"/>
    <s v="213SPB"/>
    <n v="7"/>
    <s v="FY2025"/>
    <n v="2025"/>
  </r>
  <r>
    <s v="KBIPR202507519"/>
    <s v="PC130LC-10M0, OTHERS, PINTURA, DEFECTIVE APPEARANCE, PINTURA COM AVARIAS/QUALIDADE  "/>
    <s v="PC130LC-10M0"/>
    <s v="B20678"/>
    <x v="1"/>
    <s v="Painting"/>
    <s v="PINTURA COM AVARIAS/QUALIDADE"/>
    <m/>
    <n v="5.3"/>
    <s v="Plant.Confirmed"/>
    <d v="2025-06-20T00:00:00"/>
    <d v="2025-06-20T00:00:00"/>
    <d v="2025-04-25T00:00:00"/>
    <d v="2025-06-23T00:00:00"/>
    <s v="XX"/>
    <s v="PINTURA"/>
    <s v="OTHERS"/>
    <s v="DEFECTIVE APPEARANCE"/>
    <s v="KDB (Plant) (51)"/>
    <s v="KDB - Quality Assurance"/>
    <s v="In Process"/>
    <d v="2025-07-30T00:00:00"/>
    <x v="1"/>
    <s v="KBI (9447)"/>
    <d v="2025-07-30T00:00:00"/>
    <s v="Como o equipamento veio de outro local de armazenamento, é natural que ocorra oxidação na lataria, devido à exposição prolongada às condições climáticas durante o tempo em estoque, podendo inclusive surgir ferrugem. No entanto, foi identificado respingo de tinta no contrapeso, o que indica falta de cuidado durante o processo de pintura e ausência de inspeção adequada no equipamento. Diante disso, tornou-se necessário realizar o reparo, a fim de garantir que o equipamento seja entregue ao cliente em perfeitas condições.&quot;"/>
    <s v="Neia Sene"/>
    <s v="213PRB"/>
    <n v="40"/>
    <s v="FY2025"/>
    <n v="2025"/>
  </r>
  <r>
    <s v="KBISP202507579"/>
    <s v="PC130LC-10M0, ENGINE ASSY, SILENCIOSO, ABNORMAL NOISE,   "/>
    <s v="PC130LC-10M0"/>
    <s v="B20588"/>
    <x v="13"/>
    <s v="Abnormal noise on muffler (before countermeasure)"/>
    <m/>
    <m/>
    <n v="1153"/>
    <s v="Closed"/>
    <d v="2025-07-22T00:00:00"/>
    <m/>
    <d v="2024-12-23T00:00:00"/>
    <d v="2025-02-19T00:00:00"/>
    <s v="6271-11-5230"/>
    <s v="SILENCIOSO"/>
    <s v="ENGINE ASSY"/>
    <s v="ABNORMAL NOISE"/>
    <s v="KDB (Plant) (51)"/>
    <m/>
    <s v="Completed"/>
    <d v="2025-07-29T00:00:00"/>
    <x v="5"/>
    <s v="KBI (9447)"/>
    <d v="2025-07-29T00:00:00"/>
    <s v="Cliente frotista Komatsu, possui três escavadeiras hidráulicas PC130LC-10M0 sendo, (B20391, B20588, B20723), cliente realiza todas manutenções com o distribuidor autorizado, possui contrato de manuteção ativo para todos equipamentos, adquire peças exclusivamente genuínas."/>
    <s v="Gabriel Augusto"/>
    <s v="213ESD"/>
    <n v="7"/>
    <s v="FY2025"/>
    <n v="2025"/>
  </r>
  <r>
    <s v="KBISP202507576"/>
    <s v="PC130LC-10M0, BOOM, Pino, FRACTURE,   "/>
    <s v="PC130LC-10M0"/>
    <s v="B20407"/>
    <x v="2"/>
    <s v="Arm cylinder pin break - AB25032 / FCB25040"/>
    <m/>
    <s v="PC130LC-10M0, BOOM, Pino, FRACTURE, Arm cylinder pin break  "/>
    <n v="1750"/>
    <s v="Closed"/>
    <d v="2025-07-08T00:00:00"/>
    <m/>
    <d v="2024-03-25T00:00:00"/>
    <d v="2024-06-04T00:00:00"/>
    <s v="203-70-42122"/>
    <s v="Pino"/>
    <s v="BOOM"/>
    <s v="FRACTURE"/>
    <s v="KDB (Plant) (51)"/>
    <m/>
    <s v="Completed"/>
    <d v="2025-07-28T00:00:00"/>
    <x v="5"/>
    <s v="KBI (9447)"/>
    <d v="2025-07-28T00:00:00"/>
    <s v="O cliente preza por aquisição de peças originais com o distribuidor autorizado, realiza a lubrificação conforme indicado pelas recomendações do fabricando. Cliente possui dois equipamentos PC130LC-10M0, sendo B20337 e B20407."/>
    <s v="Gabriel Augusto"/>
    <s v="213ESD"/>
    <n v="20"/>
    <s v="FY2025"/>
    <n v="2025"/>
  </r>
  <r>
    <s v="KBISP202507575"/>
    <s v="PC130LC-10M0, BOOM, PINO, FRACTURE,   "/>
    <s v="PC130LC-10M0"/>
    <s v="B20337"/>
    <x v="2"/>
    <s v="Arm cylinder pin break - AB25032 / FCB25040"/>
    <m/>
    <s v="PC130LC-10M0, BOOM, Pino, FRACTURE, Arm cylinder pin break  "/>
    <n v="2965"/>
    <s v="Closed"/>
    <d v="2025-07-28T00:00:00"/>
    <m/>
    <d v="2023-09-26T00:00:00"/>
    <d v="2023-11-30T00:00:00"/>
    <s v="203-70-42122"/>
    <s v="PINO"/>
    <s v="BOOM"/>
    <s v="FRACTURE"/>
    <s v="KDB (Plant) (51)"/>
    <m/>
    <s v="Completed"/>
    <d v="2025-07-28T00:00:00"/>
    <x v="5"/>
    <s v="KBI (9447)"/>
    <d v="2025-07-28T00:00:00"/>
    <s v="O cliente preza por aquisição de peças originais com o distribuidor autorizado, realiza a lubrificação conforme indicado pelas recomendações do fabricando. Cliente possui dois equipamentos PC130LC-10M0, sendo B20337 e B20407."/>
    <s v="Gabriel Augusto"/>
    <s v="213ESD"/>
    <n v="0"/>
    <s v="FY2025"/>
    <n v="2025"/>
  </r>
  <r>
    <s v="KBISP202507573"/>
    <s v="PC130LC-10M0, BOOM, Pin, FRACTURE,   "/>
    <s v="PC130LC-10M0"/>
    <s v="B20347"/>
    <x v="2"/>
    <s v="Arm cylinder pin break - AB25032 / FCB25040"/>
    <m/>
    <s v="PC130LC-10M0, BOOM, Pino, FRACTURE, Arm cylinder pin break  "/>
    <n v="3505"/>
    <s v="Closed"/>
    <d v="2025-07-21T00:00:00"/>
    <m/>
    <d v="2023-10-09T00:00:00"/>
    <d v="2024-03-01T00:00:00"/>
    <s v="203-70-42122"/>
    <s v="Pin"/>
    <s v="BOOM"/>
    <s v="FRACTURE"/>
    <s v="KDB (Plant) (51)"/>
    <m/>
    <s v="Completed"/>
    <d v="2025-07-28T00:00:00"/>
    <x v="5"/>
    <s v="KBI (9447)"/>
    <d v="2025-07-28T00:00:00"/>
    <s v="Primeiro equipamento Komatsu do cliente, realiza todas as revisões com o distribuidor autorizado, exige que as revisões sejam realizadas antecipadamente antes de atingir o horímetro, cliente realiza compra de peças exclusivamente genuínas."/>
    <s v="Gabriel Augusto"/>
    <s v="213ESD"/>
    <n v="7"/>
    <s v="FY2025"/>
    <n v="2025"/>
  </r>
  <r>
    <s v="KBI1F202507512"/>
    <s v="PC130-10M0, ACCESSORY &amp; PARTS, DECALQUE, OTHER, ADESIVO CONTRAPESO LADO ESQ. FALTANDO  "/>
    <s v="PC130-10M0"/>
    <s v="B20601"/>
    <x v="24"/>
    <s v="Adhesive missing"/>
    <s v="ADESIVO CONTRAPESO LADO ESQ. FALTANDO"/>
    <m/>
    <n v="10"/>
    <s v="Plant.QA Approved"/>
    <d v="2025-07-05T00:00:00"/>
    <m/>
    <d v="2024-12-30T00:00:00"/>
    <d v="2025-07-05T00:00:00"/>
    <s v="20Y-00-31840"/>
    <s v="DECALQUE"/>
    <s v="ACCESSORY &amp; PARTS"/>
    <s v="OTHER"/>
    <s v="KDB (Plant) (51)"/>
    <s v="KDB - Quality Assurance"/>
    <s v="In Process"/>
    <d v="2025-07-25T00:00:00"/>
    <x v="8"/>
    <s v="KBI (9447)"/>
    <d v="2025-07-28T00:00:00"/>
    <m/>
    <s v="Franciele Ferreira"/>
    <s v="213RSC"/>
    <n v="23"/>
    <s v="FY2025"/>
    <n v="2025"/>
  </r>
  <r>
    <s v="KBISP202507571"/>
    <s v="PC130LC-10M0, ARM, Arm, FRACTURE,   "/>
    <s v="PC130LC-10M0"/>
    <s v="B20310"/>
    <x v="14"/>
    <s v="Arm crack - AB25018 - FCB25016"/>
    <m/>
    <m/>
    <n v="3898"/>
    <s v="Closed"/>
    <d v="2025-07-24T00:00:00"/>
    <m/>
    <d v="2023-08-02T00:00:00"/>
    <d v="2023-11-09T00:00:00"/>
    <s v="204-70-00480"/>
    <s v="Arm"/>
    <s v="ARM"/>
    <s v="FRACTURE"/>
    <s v="KDB (Plant) (51)"/>
    <m/>
    <s v="Completed"/>
    <d v="2025-07-25T00:00:00"/>
    <x v="5"/>
    <s v="KBI (9447)"/>
    <d v="2025-07-25T00:00:00"/>
    <s v="Cliente possui dois equipamentos Komatsu sendo uma WA200-6 (B20692) e a PC130LC-10M0 (B20310), o mesmo adquire peças somente genuínas, realiza a manutenção preventiva com o distribuidor autorizado."/>
    <s v="Gabriel Augusto"/>
    <s v="213ESD"/>
    <n v="1"/>
    <s v="FY2025"/>
    <n v="2025"/>
  </r>
  <r>
    <s v="KBIPR202507515"/>
    <s v="PC130LC-10M0, ACCESSORY &amp; PARTS, ROLETE INFERIOR, ENTER/LEAKS, Rolete Quebrado com Vazamento  "/>
    <s v="PC130LC-10M0"/>
    <s v="B20630"/>
    <x v="29"/>
    <s v="Track roller break / leak"/>
    <s v="Rolete Quebrado com Vazamento"/>
    <s v="PC130LC-10M0, ACCESSORY &amp; PARTS, ROLETE INFERIOR, ENTER/LEAKS,   "/>
    <n v="140"/>
    <s v="Closed"/>
    <d v="2025-05-23T00:00:00"/>
    <d v="2025-06-26T00:00:00"/>
    <d v="2025-02-27T00:00:00"/>
    <d v="2025-03-11T00:00:00"/>
    <s v="22B-30-00412"/>
    <s v="ROLETE INFERIOR"/>
    <s v="ACCESSORY &amp; PARTS"/>
    <s v="ENTER/LEAKS"/>
    <s v="KDB (Plant) (51)"/>
    <m/>
    <s v="Completed"/>
    <d v="2025-07-24T00:00:00"/>
    <x v="1"/>
    <s v="KBI (9447)"/>
    <d v="2025-07-24T00:00:00"/>
    <s v="Aproveitou-se a intervenção para realizar avaliações nos demais roletes (KUC), incluindo medições no material rodante com o objetivo de verificar possíveis desgastes. Nenhum outro problema semelhante foi identificado durante essa análise."/>
    <s v="Neia Sene"/>
    <s v="213PRB"/>
    <n v="62"/>
    <s v="FY2025"/>
    <n v="2025"/>
  </r>
  <r>
    <s v="KBISP202507533"/>
    <s v="PC130LC-10M0, ARM, ARM, BROKEN,   "/>
    <s v="PC130LC-10M0"/>
    <s v="B20366"/>
    <x v="14"/>
    <s v="Arm crack - AB25018 - FCB25016"/>
    <m/>
    <m/>
    <n v="1850"/>
    <s v="Closed"/>
    <d v="2025-07-10T00:00:00"/>
    <m/>
    <d v="2023-11-14T00:00:00"/>
    <d v="2024-11-27T00:00:00"/>
    <s v="204-943-0030"/>
    <s v="ARM"/>
    <s v="ARM"/>
    <s v="BROKEN"/>
    <s v="KDB (Plant) (51)"/>
    <m/>
    <s v="Completed"/>
    <d v="2025-07-19T00:00:00"/>
    <x v="5"/>
    <s v="KBI (9447)"/>
    <d v="2025-07-19T00:00:00"/>
    <s v="O cliente, fidelizado à marca Komatsu e com histórico de revisões preventivas e aquisição de componentes diretamente na concessionária, possui duas Escavadeiras Komatsu PC130LC-10M0 com contrato de manutenção ativo, sendo a primeira máquina B20366 e a segunda B20663."/>
    <s v="Gabriel Augusto"/>
    <s v="213ESD"/>
    <n v="9"/>
    <s v="FY2025"/>
    <n v="2025"/>
  </r>
  <r>
    <s v="KBISP202507531"/>
    <s v="PC130LC-10M0, WORK EQUIPMENT FOR H/E, equipamento de trabalho, DETERIORATION, KBISP202507531  "/>
    <s v="PC130LC-10M0"/>
    <s v="B20358"/>
    <x v="14"/>
    <s v="Bushing and Pin wear"/>
    <s v="KBISP202507531"/>
    <m/>
    <n v="1282"/>
    <s v="Closed"/>
    <d v="2025-06-20T00:00:00"/>
    <m/>
    <d v="2023-10-31T00:00:00"/>
    <d v="2024-07-23T00:00:00"/>
    <s v="204-70-00480"/>
    <s v="equipamento de trabalho"/>
    <s v="WORK EQUIPMENT FOR H/E"/>
    <s v="DETERIORATION"/>
    <s v="KDB (Plant) (51)"/>
    <m/>
    <s v="Completed"/>
    <d v="2025-07-19T00:00:00"/>
    <x v="5"/>
    <s v="KBI (9447)"/>
    <d v="2025-07-19T00:00:00"/>
    <s v="Equipamento pertence ao Rental da Bauko e apresentou folga com poucas horas de trabalho"/>
    <s v="Gabriel Augusto"/>
    <s v="213ESD"/>
    <n v="29"/>
    <s v="FY2025"/>
    <n v="2025"/>
  </r>
  <r>
    <s v="KBIPR202507509"/>
    <s v="PC130LC-10M0, ACCESSORY &amp; PARTS, ROLETE INFERIOR, ENTER/LEAKS, Rolete inferior superior vazando  "/>
    <s v="PC130LC-10M0"/>
    <s v="B20587"/>
    <x v="29"/>
    <s v="Track roller break / leak"/>
    <s v="Rolete inferior superior vazando"/>
    <s v="PC130LC-10M0, ACCESSORY &amp; PARTS, ROLETE INFERIOR, ENTER/LEAKS,   "/>
    <n v="776"/>
    <s v="Closed"/>
    <d v="2025-07-11T00:00:00"/>
    <m/>
    <d v="2024-12-20T00:00:00"/>
    <d v="2025-01-06T00:00:00"/>
    <s v="22B-30-16511"/>
    <s v="ROLETE INFERIOR"/>
    <s v="ACCESSORY &amp; PARTS"/>
    <s v="ENTER/LEAKS"/>
    <s v="KDB (Plant) (51)"/>
    <m/>
    <s v="Completed"/>
    <d v="2025-07-18T00:00:00"/>
    <x v="1"/>
    <s v="KBI (9447)"/>
    <d v="2025-07-18T00:00:00"/>
    <s v="O vazamento de óleo compromete a lubrificação do rolete, podendo causar aquecimento excessivo, aumento de atrito e, eventualmente, falha prematura do componente. Além disso, representa risco ambiental e de segurança, especialmente se houver acúmulo de óleo em áreas de circulação."/>
    <s v="Neia Sene"/>
    <s v="213PRB"/>
    <n v="7"/>
    <s v="FY2025"/>
    <n v="2025"/>
  </r>
  <r>
    <s v="KBISP202507528"/>
    <s v="PC130LC-10M0, ARM, ARM, CRACK,   "/>
    <s v="PC130LC-10M0"/>
    <s v="B20257"/>
    <x v="14"/>
    <s v="Arm crack - AB25018 - FCB25016"/>
    <m/>
    <m/>
    <n v="3517"/>
    <s v="Closed"/>
    <d v="2025-07-14T00:00:00"/>
    <m/>
    <d v="2023-05-25T00:00:00"/>
    <d v="2023-06-06T00:00:00"/>
    <s v="204-70-00480"/>
    <s v="ARM"/>
    <s v="ARM"/>
    <s v="CRACK"/>
    <s v="KDB (Plant) (51)"/>
    <m/>
    <s v="Completed"/>
    <d v="2025-07-17T00:00:00"/>
    <x v="5"/>
    <s v="KBI (9447)"/>
    <d v="2025-07-19T00:00:00"/>
    <s v="Cliente faz todas as revisões de forma avulsa com a concessionaria, e utiliza caçamba original Komatsu DE 0,75 M³"/>
    <s v="Gabriel Augusto"/>
    <s v="213ESD"/>
    <n v="5"/>
    <s v="FY2025"/>
    <n v="2025"/>
  </r>
  <r>
    <s v="KBIPR202507505"/>
    <s v="PC130LC-10M0, ACCESSORY &amp; PARTS, ROLETE INFERIOR, ENTER/LEAKS, Rolete Inferior traseiro LD com Vazament  "/>
    <s v="PC130LC-10M0"/>
    <s v="B20563"/>
    <x v="29"/>
    <s v="Track roller break / leak"/>
    <s v="Rolete Inferior traseiro LD com Vazament"/>
    <s v="PC130LC-10M0, ACCESSORY &amp; PARTS, ROLETE INFERIOR, ENTER/LEAKS,   "/>
    <n v="709"/>
    <s v="Closed"/>
    <d v="2025-05-27T00:00:00"/>
    <d v="2025-07-03T00:00:00"/>
    <d v="2024-10-28T00:00:00"/>
    <d v="2024-11-19T00:00:00"/>
    <s v="22B-30-00412"/>
    <s v="ROLETE INFERIOR"/>
    <s v="ACCESSORY &amp; PARTS"/>
    <s v="ENTER/LEAKS"/>
    <s v="KDB (Plant) (51)"/>
    <m/>
    <s v="Completed"/>
    <d v="2025-07-15T00:00:00"/>
    <x v="1"/>
    <s v="KBI (9447)"/>
    <d v="2025-07-15T00:00:00"/>
    <s v="Houve um intervalo entre a data de identificação da falha e a realização da substituição, motivado pela disponibilidade do cliente para paralisar o equipamento e pelas condições climáticas adversas na região, que dificultaram o acesso ao local onde a máquina estava operando."/>
    <s v="Neia Sene"/>
    <s v="213PRB"/>
    <n v="49"/>
    <s v="FY2025"/>
    <n v="2025"/>
  </r>
  <r>
    <s v="KBISP202507515"/>
    <s v="PC130LC-10M0, ARM, ARM, BROKEN,   "/>
    <s v="PC130LC-10M0"/>
    <s v="B20162"/>
    <x v="14"/>
    <s v="Arm crack - AB25018 - FCB25016"/>
    <m/>
    <m/>
    <n v="6874"/>
    <s v="Closed"/>
    <d v="2025-07-07T00:00:00"/>
    <m/>
    <d v="2022-09-26T00:00:00"/>
    <d v="2022-10-27T00:00:00"/>
    <s v="204-70-00480"/>
    <s v="ARM"/>
    <s v="ARM"/>
    <s v="BROKEN"/>
    <s v="KDB (Plant) (51)"/>
    <m/>
    <s v="Completed"/>
    <d v="2025-07-07T00:00:00"/>
    <x v="5"/>
    <s v="KBI (9447)"/>
    <d v="2025-07-07T00:00:00"/>
    <s v="Cliente possui dois equipamentos Komatsu, com historico de trinca no braço no equipamento B20109 e agora ruptura do braço no equipamento B20162, ambas apresentaram folga no equipamento de trabalho e concha anteriormente."/>
    <s v="Gabriel Augusto"/>
    <s v="213ESD"/>
    <n v="0"/>
    <s v="FY2025"/>
    <n v="2025"/>
  </r>
  <r>
    <s v="KBISP202507509"/>
    <s v="PC130-10M0, ELECTRICAL SYSTEM, cabo conector da buzina, DEFECTIVE ADJUSTMENT,   "/>
    <s v="PC130-10M0"/>
    <s v="B20599"/>
    <x v="8"/>
    <s v="Nozzler wiring"/>
    <m/>
    <m/>
    <n v="640"/>
    <s v="Plant.Confirmed"/>
    <d v="2025-06-25T00:00:00"/>
    <m/>
    <d v="2024-12-30T00:00:00"/>
    <m/>
    <s v="204-06-71190"/>
    <s v="cabo conector da buzina"/>
    <s v="ELECTRICAL SYSTEM"/>
    <s v="DEFECTIVE ADJUSTMENT"/>
    <s v="KDB (Plant) (51)"/>
    <s v="KDB - Quality Assurance"/>
    <s v="In Process"/>
    <d v="2025-07-03T00:00:00"/>
    <x v="5"/>
    <s v="KBI (9447)"/>
    <d v="2025-07-03T00:00:00"/>
    <m/>
    <s v="Vinícius Barbosa"/>
    <s v="213SPA"/>
    <n v="8"/>
    <s v="FY2025"/>
    <n v="2025"/>
  </r>
  <r>
    <s v="KBISP202507503"/>
    <s v="PC130LC-10M0, ENGINE ASSY, Retentor do virabrequim, ENTER/LEAKS, Vazamento na polia da hélice  "/>
    <s v="PC130LC-10M0"/>
    <s v="B20180"/>
    <x v="15"/>
    <s v="Fan seal"/>
    <s v="Vazamento na polia da hélice"/>
    <m/>
    <n v="3901"/>
    <s v="Sub.Submitted"/>
    <d v="2025-06-04T00:00:00"/>
    <d v="2025-06-18T00:00:00"/>
    <d v="2022-10-14T00:00:00"/>
    <d v="2023-06-01T00:00:00"/>
    <s v="6204-21-3531"/>
    <s v="Retentor do virabrequim"/>
    <s v="ENGINE ASSY"/>
    <s v="ENTER/LEAKS"/>
    <s v="KDB (Plant) (51)"/>
    <s v="Pending Requests"/>
    <s v="Pending Request"/>
    <d v="2025-07-02T00:00:00"/>
    <x v="5"/>
    <s v="KBI (9447)"/>
    <d v="2025-07-02T00:00:00"/>
    <m/>
    <s v="Gabriel Bonifacio"/>
    <s v="213SPB"/>
    <n v="28"/>
    <s v="FY2025"/>
    <n v="2025"/>
  </r>
  <r>
    <s v="KBISP202506522"/>
    <s v="PC130LC-10M0, ARM, Arm, LOOSEN,   "/>
    <s v="PC130LC-10M0"/>
    <s v="B20350"/>
    <x v="14"/>
    <s v="Bushing and Pin wear"/>
    <m/>
    <m/>
    <n v="2351"/>
    <s v="Closed"/>
    <d v="2025-06-02T00:00:00"/>
    <m/>
    <d v="2023-10-18T00:00:00"/>
    <d v="2023-12-28T00:00:00"/>
    <s v="204-70-00480"/>
    <s v="Arm"/>
    <s v="ARM"/>
    <s v="LOOSEN"/>
    <s v="KDB (Plant) (51)"/>
    <m/>
    <s v="Completed"/>
    <d v="2025-06-20T00:00:00"/>
    <x v="5"/>
    <s v="KBI (9447)"/>
    <d v="2025-07-19T00:00:00"/>
    <s v="O cliente fidelizado com Komatsu possui contrato de manutenção ativo, adquire peças de reposição originais exclusivamente com distribuidores autorizados e realiza as manutenções preventivas antecipadamente, antes de atingir o horímetro recomendado."/>
    <s v="Gabriel Augusto"/>
    <s v="213ESD"/>
    <n v="47"/>
    <s v="FY2025"/>
    <n v="2025"/>
  </r>
  <r>
    <s v="KBISP202506519"/>
    <s v="PC130LC-10M0, HYDRAULIC CONTROL VALVE, Válvula auto redutora, DEFECTIVE ADJUSTMENT, Ajuste da pressão auto redutora  "/>
    <s v="PC130LC-10M0"/>
    <s v="B20116"/>
    <x v="21"/>
    <s v="Performance complain"/>
    <s v="Ajuste da pressão auto redutora"/>
    <m/>
    <n v="1459"/>
    <s v="Sub.Received"/>
    <d v="2023-08-01T00:00:00"/>
    <m/>
    <d v="2022-07-20T00:00:00"/>
    <d v="2022-08-24T00:00:00"/>
    <s v="723-40-74300"/>
    <s v="Válvula auto redutora"/>
    <s v="HYDRAULIC CONTROL VALVE"/>
    <s v="DEFECTIVE ADJUSTMENT"/>
    <s v="KDB (Plant) (51)"/>
    <s v="KBI - Construction Service"/>
    <s v="Disapproved"/>
    <d v="2025-06-18T00:00:00"/>
    <x v="5"/>
    <s v="KBI (9447)"/>
    <d v="2025-06-18T00:00:00"/>
    <s v="Importante ressaltar que diversos clientes estão apresentando a mesma alegação de que o equipamento encontra-se lento e sem força, possivelmente existe a possibilidade de que os equipamento em questão estejam sendo liberados da fabrica com a pressão dentro do padrão entretanto no mínimo, para os equipamentos liberados no range mínimo de pressão exemplo 29 Kg/cm² estima-se que quando o equipamento entra na temperatura padrão de trabalho essa pressão tende a ser reduzida deixando o equipamento ainda mais lento. Irei deixar de evidencia mais 3 relatórios de equipamentos diferentes que apresentaram a mesma questão."/>
    <s v="Gabriel Bonifacio"/>
    <s v="213SPB"/>
    <n v="687"/>
    <s v="FY2025"/>
    <n v="2025"/>
  </r>
  <r>
    <s v="KBIMB202506505"/>
    <s v="PC130LC-10M0, ARM, braço, CRACK,   "/>
    <s v="PC130LC-10M0"/>
    <s v="B20039"/>
    <x v="14"/>
    <s v="Arm crack - AB25018 - FCB25016"/>
    <m/>
    <m/>
    <n v="3008"/>
    <s v="Plant.Confirmed"/>
    <d v="2025-06-06T00:00:00"/>
    <m/>
    <d v="2022-04-11T00:00:00"/>
    <d v="2022-06-09T00:00:00"/>
    <s v="204-70-00480"/>
    <s v="braço"/>
    <s v="ARM"/>
    <s v="CRACK"/>
    <s v="KDB (Plant) (51)"/>
    <s v="KDB - Quality Assurance"/>
    <s v="In Process"/>
    <d v="2025-06-17T00:00:00"/>
    <x v="3"/>
    <s v="KBI (9447)"/>
    <d v="2025-06-17T00:00:00"/>
    <s v="2600 horas com operação em cargas leves e muito leves."/>
    <s v="Whasterley Silva"/>
    <s v="213I"/>
    <n v="11"/>
    <s v="FY2025"/>
    <n v="2025"/>
  </r>
  <r>
    <s v="KBIMB202506502"/>
    <s v="PC130LC-10M0, HST PUMP, Bomba hidraulica, MALFUNCTION,   "/>
    <s v="PC130LC-10M0"/>
    <s v="B20371"/>
    <x v="25"/>
    <s v="Hyd. Pump"/>
    <m/>
    <m/>
    <n v="2284"/>
    <s v="Sub.Received"/>
    <d v="2025-06-02T00:00:00"/>
    <m/>
    <d v="2023-11-23T00:00:00"/>
    <d v="2024-02-06T00:00:00"/>
    <s v="708-3D-00043"/>
    <s v="Bomba hidraulica"/>
    <s v="HST PUMP"/>
    <s v="MALFUNCTION"/>
    <s v="KDB (Plant) (51)"/>
    <s v="KBI - Construction Service"/>
    <s v="In Process"/>
    <d v="2025-06-13T00:00:00"/>
    <x v="3"/>
    <s v="KBI (9447)"/>
    <d v="2025-06-13T00:00:00"/>
    <m/>
    <s v="Whasterley Silva"/>
    <s v="213I"/>
    <n v="11"/>
    <s v="FY2025"/>
    <n v="2025"/>
  </r>
  <r>
    <s v="KBISP202506509"/>
    <s v="PC130LC-10M0, BOOM, Lança, FRACTURE,   "/>
    <s v="PC130LC-10M0"/>
    <s v="B20534"/>
    <x v="16"/>
    <s v="Boom crack"/>
    <m/>
    <m/>
    <n v="807"/>
    <s v="Plant.Confirmed"/>
    <d v="2025-06-13T00:00:00"/>
    <m/>
    <d v="2024-09-13T00:00:00"/>
    <d v="2024-10-08T00:00:00"/>
    <s v="204-70-B0010"/>
    <s v="Lança"/>
    <s v="BOOM"/>
    <s v="FRACTURE"/>
    <s v="KDB (Plant) (51)"/>
    <s v="KDB - Quality Assurance"/>
    <s v="In Process"/>
    <d v="2025-06-13T00:00:00"/>
    <x v="5"/>
    <s v="KBI (9447)"/>
    <d v="2025-06-13T00:00:00"/>
    <s v="O cliente, fidelizado à marca Komatsu e com histórico de revisões preventivas e aquisição de componentes diretamente na concessionária, utiliza exclusivamente peças originais Komatsu."/>
    <s v="Gabriel Augusto"/>
    <s v="213ESD"/>
    <n v="0"/>
    <s v="FY2025"/>
    <n v="2025"/>
  </r>
  <r>
    <s v="KBIPR202506500"/>
    <s v="PC130LC-10M0, ACCESSORY &amp; PARTS, CHAVE GERAL, DEFECTIVE PARTS, CHAVE GERAL COM PROBLEMA  "/>
    <s v="PC130LC-10M0"/>
    <s v="B20587"/>
    <x v="8"/>
    <s v="Main switch"/>
    <s v="CHAVE GERAL COM PROBLEMA"/>
    <m/>
    <n v="574"/>
    <s v="Closed"/>
    <d v="2025-05-26T00:00:00"/>
    <d v="2025-05-27T00:00:00"/>
    <d v="2024-12-20T00:00:00"/>
    <d v="2025-01-06T00:00:00"/>
    <s v="08068-00001"/>
    <s v="CHAVE GERAL"/>
    <s v="ACCESSORY &amp; PARTS"/>
    <s v="DEFECTIVE PARTS"/>
    <s v="KDB (Plant) (51)"/>
    <m/>
    <s v="Completed"/>
    <d v="2025-06-03T00:00:00"/>
    <x v="1"/>
    <s v="KBI (9447)"/>
    <d v="2025-06-03T00:00:00"/>
    <m/>
    <s v="Neia Sene"/>
    <s v="213PRB"/>
    <n v="8"/>
    <s v="FY2025"/>
    <n v="2025"/>
  </r>
  <r>
    <s v="KBIMN202505501"/>
    <s v="PC130-10M0, TRAVEL MOTOR ASSY, CARRIER, ABNORMAL NOISE, FALHA PREMATURA NO COMANDO FINAL LADO DI  "/>
    <s v="PC130-10M0"/>
    <s v="B20504"/>
    <x v="32"/>
    <s v="Travel motor"/>
    <s v="FALHA PREMATURA NO COMANDO FINAL LADO DI"/>
    <m/>
    <n v="1360.8"/>
    <s v="Sub.Received"/>
    <d v="2025-04-16T00:00:00"/>
    <m/>
    <d v="2024-07-31T00:00:00"/>
    <d v="2024-10-21T00:00:00"/>
    <s v="TZ701D1003-00"/>
    <s v="CARRIER"/>
    <s v="TRAVEL MOTOR ASSY"/>
    <s v="ABNORMAL NOISE"/>
    <s v="KDB (Plant) (51)"/>
    <s v="KBI - Construction Service"/>
    <s v="In Process"/>
    <d v="2025-05-30T00:00:00"/>
    <x v="7"/>
    <s v="KBI (9447)"/>
    <d v="2025-05-30T00:00:00"/>
    <m/>
    <s v="Matheus Igreja"/>
    <s v="213PAE"/>
    <n v="44"/>
    <s v="FY2025"/>
    <n v="2025"/>
  </r>
  <r>
    <s v="KBIMB202505517"/>
    <s v="PC130LC-10M0, TRACK SHOE, Shoe, ABNORMAL NOISE,   "/>
    <s v="PC130LC-10M0"/>
    <s v="B20427"/>
    <x v="11"/>
    <s v="Track abnormal noise"/>
    <m/>
    <m/>
    <n v="1977"/>
    <s v="Sub.Received"/>
    <d v="2025-04-30T00:00:00"/>
    <m/>
    <d v="2024-04-22T21:00:00"/>
    <d v="2024-07-04T21:00:00"/>
    <s v="2A3-27-11310"/>
    <s v="Shoe"/>
    <s v="TRACK SHOE"/>
    <s v="ABNORMAL NOISE"/>
    <s v="KDB (Plant) (51)"/>
    <s v="KBI - Construction Service"/>
    <s v="In Process"/>
    <d v="2025-05-30T00:00:00"/>
    <x v="3"/>
    <s v="KBI (9447)"/>
    <d v="2025-05-29T00:00:00"/>
    <m/>
    <s v="Filipe Martimiliano"/>
    <s v="213I"/>
    <n v="29"/>
    <s v="FY2025"/>
    <n v="2025"/>
  </r>
  <r>
    <s v="KBI1F202505518"/>
    <s v="PC130LC-10M0, OTHERS, SEM PECA, DEFECTIVE APPEARANCE, BOLHAS NA PINTURA DO CONTRAPESO  "/>
    <s v="PC130LC-10M0"/>
    <s v="B20555"/>
    <x v="24"/>
    <s v="Counterweight paiting"/>
    <s v="BOLHAS NA PINTURA DO CONTRAPESO"/>
    <m/>
    <n v="7"/>
    <s v="Closed"/>
    <d v="2025-05-12T00:00:00"/>
    <m/>
    <d v="2024-10-11T00:00:00"/>
    <m/>
    <s v="SEM PECA"/>
    <s v="SEM PECA"/>
    <s v="OTHERS"/>
    <s v="DEFECTIVE APPEARANCE"/>
    <s v="KDB (Plant) (51)"/>
    <m/>
    <s v="Completed"/>
    <d v="2025-05-29T00:00:00"/>
    <x v="8"/>
    <s v="KBI (9447)"/>
    <d v="2025-05-29T00:00:00"/>
    <m/>
    <s v="Franciele Ferreira"/>
    <s v="213RSC"/>
    <n v="17"/>
    <s v="FY2025"/>
    <n v="2025"/>
  </r>
  <r>
    <s v="KBI1F202505517"/>
    <s v="PC130LC-10M0, ENGINE ASSY, SENSOR DE PRESSAO, OTHER, ERRO DHE5MA  "/>
    <s v="PC130LC-10M0"/>
    <s v="B20387"/>
    <x v="8"/>
    <s v="Sensor"/>
    <s v="ERRO DHE5MA"/>
    <m/>
    <n v="607"/>
    <s v="Closed"/>
    <d v="2025-05-07T00:00:00"/>
    <m/>
    <d v="2024-02-21T00:00:00"/>
    <d v="2024-05-29T00:00:00"/>
    <s v="6252-11-2901"/>
    <s v="SENSOR DE PRESSAO"/>
    <s v="ENGINE ASSY"/>
    <s v="OTHER"/>
    <s v="KDB (Plant) (51)"/>
    <m/>
    <s v="Completed"/>
    <d v="2025-05-28T00:00:00"/>
    <x v="8"/>
    <s v="KBI (9447)"/>
    <d v="2025-05-28T00:00:00"/>
    <m/>
    <s v="Franciele Ferreira"/>
    <s v="213RSC"/>
    <n v="21"/>
    <s v="FY2025"/>
    <n v="2025"/>
  </r>
  <r>
    <s v="KBIPR202505510"/>
    <s v="PC130LC-10M0, ACCESSORY &amp; PARTS, SILENCIOSO, MALFUNCTION, BARULHO NO SILENCIOSO.  "/>
    <s v="PC130LC-10M0"/>
    <s v="B20113"/>
    <x v="13"/>
    <s v="Abnormal noise on muffler (before countermeasure)"/>
    <s v="BARULHO NO SILENCIOSO."/>
    <m/>
    <n v="3848"/>
    <s v="Closed"/>
    <d v="2025-05-16T00:00:00"/>
    <m/>
    <d v="2022-07-20T00:00:00"/>
    <d v="2022-08-11T00:00:00"/>
    <s v="6271-11-5230"/>
    <s v="SILENCIOSO"/>
    <s v="ACCESSORY &amp; PARTS"/>
    <s v="MALFUNCTION"/>
    <s v="KDB (Plant) (51)"/>
    <m/>
    <s v="Completed"/>
    <d v="2025-05-20T00:00:00"/>
    <x v="1"/>
    <s v="KBI (9447)"/>
    <d v="2025-05-20T00:00:00"/>
    <m/>
    <s v="Neia Sene"/>
    <s v="213PRB"/>
    <n v="4"/>
    <s v="FY2025"/>
    <n v="2025"/>
  </r>
  <r>
    <s v="KBIPR202505507"/>
    <s v="PC130LC-10M0, ACCESSORY &amp; PARTS, MODULO DE CONTROLE ELETRONICO, DEFECTIVE ADJUSTMENT, FALHA DA CONTROLADORA DO MOTOR DIESEL  "/>
    <s v="PC130LC-10M0"/>
    <s v="B20235"/>
    <x v="9"/>
    <s v="Engine controller"/>
    <s v="FALHA DA CONTROLADORA DO MOTOR DIESEL"/>
    <m/>
    <n v="1254"/>
    <s v="Closed"/>
    <d v="2025-05-08T00:00:00"/>
    <m/>
    <d v="2023-02-02T00:00:00"/>
    <d v="2023-09-29T00:00:00"/>
    <s v="600-475-3502"/>
    <s v="MODULO DE CONTROLE ELETRONICO"/>
    <s v="ACCESSORY &amp; PARTS"/>
    <s v="DEFECTIVE ADJUSTMENT"/>
    <s v="KDB (Plant) (51)"/>
    <m/>
    <s v="Completed"/>
    <d v="2025-05-15T00:00:00"/>
    <x v="1"/>
    <s v="KBI (9447)"/>
    <d v="2025-05-16T00:00:00"/>
    <s v="A FALHA NA CONTROLADORA DO MOTOR DIESEL E FOI COMPROVADA, AO MONTARMOS A MESMA CONTROLADORA EM OUTRO EQUIPAMENTO PARA CONFIRMAR O DIAGNOSTIOCO E A FALHA FOI CONFIRMADA. CLIENTE POSSUI CONTRATO MMK ATE 2000 HORAS, FAZ AS MANUTENÇÕES CORRETAMENTE E POSSUI OUTRO EQUIPAMENTO WA320."/>
    <s v="Neia Sene"/>
    <s v="213PRB"/>
    <n v="8"/>
    <s v="FY2025"/>
    <n v="2025"/>
  </r>
  <r>
    <s v="KBISP202505518"/>
    <s v="PC130LC-10M0, ARM, Arm, BROKEN,   "/>
    <s v="PC130LC-10M0"/>
    <s v="B20247"/>
    <x v="14"/>
    <s v="Arm crack - AB25018 - FCB25016"/>
    <m/>
    <m/>
    <n v="4706"/>
    <s v="Closed"/>
    <d v="2025-05-14T00:00:00"/>
    <m/>
    <d v="2023-02-22T00:00:00"/>
    <d v="2023-05-17T00:00:00"/>
    <s v="204-943-0030"/>
    <s v="Arm"/>
    <s v="ARM"/>
    <s v="BROKEN"/>
    <s v="KDB (Plant) (51)"/>
    <m/>
    <s v="Completed"/>
    <d v="2025-05-14T00:00:00"/>
    <x v="5"/>
    <s v="KBI (9447)"/>
    <d v="2025-05-14T00:00:00"/>
    <m/>
    <s v="Vinícius Barbosa"/>
    <s v="213SPA"/>
    <n v="0"/>
    <s v="FY2025"/>
    <n v="2025"/>
  </r>
  <r>
    <s v="KBI1F202505506"/>
    <s v="PC130LC-10M0, BOOM, BOMM ASSEMBLY, FRACTURE, TRINCA NA LANÇA  "/>
    <s v="PC130LC-10M0"/>
    <s v="B20437"/>
    <x v="16"/>
    <s v="Boom crack"/>
    <s v="TRINCA NA LANÇA"/>
    <m/>
    <n v="1335"/>
    <s v="Closed"/>
    <d v="2025-05-08T00:00:00"/>
    <m/>
    <d v="2024-04-30T00:00:00"/>
    <d v="2024-05-13T00:00:00"/>
    <s v="204-70-B0010"/>
    <s v="BOMM ASSEMBLY"/>
    <s v="BOOM"/>
    <s v="FRACTURE"/>
    <s v="KDB (Plant) (51)"/>
    <m/>
    <s v="Completed"/>
    <d v="2025-05-12T00:00:00"/>
    <x v="8"/>
    <s v="KBI (9447)"/>
    <d v="2025-05-12T00:00:00"/>
    <m/>
    <s v="Franciele Ferreira"/>
    <s v="213RSC"/>
    <n v="4"/>
    <s v="FY2025"/>
    <n v="2025"/>
  </r>
  <r>
    <s v="KBISP202505509"/>
    <s v="PC130LC-10M0, HYDRAULIC PIPING(1), Anel Oring de vedação, ENTER/LEAKS,   "/>
    <s v="PC130LC-10M0"/>
    <s v="B20604"/>
    <x v="5"/>
    <s v="Seal leak"/>
    <m/>
    <m/>
    <n v="89"/>
    <s v="Plant.QA Approved"/>
    <d v="2025-04-14T00:00:00"/>
    <m/>
    <d v="2025-01-23T00:00:00"/>
    <m/>
    <s v="02896-11015"/>
    <s v="Anel Oring de vedação"/>
    <s v="HYDRAULIC PIPING(1)"/>
    <s v="ENTER/LEAKS"/>
    <s v="KDB (Plant) (51)"/>
    <s v="KDB - Quality Assurance"/>
    <s v="In Process"/>
    <d v="2025-05-06T00:00:00"/>
    <x v="5"/>
    <s v="KBI (9447)"/>
    <d v="2025-05-06T00:00:00"/>
    <m/>
    <s v="Vinícius Barbosa"/>
    <s v="213SPA"/>
    <n v="22"/>
    <s v="FY2025"/>
    <n v="2025"/>
  </r>
  <r>
    <s v="KBISP202504527"/>
    <s v="PC130LC-10M0, AIR CONDITIONER, Condensador, CRACK, Trinca na solda do condensador  "/>
    <s v="PC130LC-10M0"/>
    <s v="B20261"/>
    <x v="4"/>
    <s v="Condensor crack"/>
    <s v="Trinca na solda do condensador"/>
    <m/>
    <n v="2262"/>
    <s v="Closed"/>
    <d v="2025-04-27T00:00:00"/>
    <m/>
    <d v="2023-05-30T00:00:00"/>
    <d v="2023-11-22T00:00:00"/>
    <s v="2A5-979-1282"/>
    <s v="Condensador"/>
    <s v="AIR CONDITIONER"/>
    <s v="CRACK"/>
    <s v="KDB (Plant) (51)"/>
    <m/>
    <s v="Completed"/>
    <d v="2025-04-30T00:00:00"/>
    <x v="5"/>
    <s v="KBI (9447)"/>
    <d v="2025-04-30T00:00:00"/>
    <m/>
    <s v="Gabriel Bonifacio"/>
    <s v="213SPB"/>
    <n v="3"/>
    <s v="FY2025"/>
    <n v="2025"/>
  </r>
  <r>
    <s v="KBIPR202504514"/>
    <s v="PC130LC-10M0, ACCESSORY &amp; PARTS, Aparelho de sinalização acústica, INTERFERENCE, SIRENE DE MOVIMENTO QUEIMADA  "/>
    <s v="PC130LC-10M0"/>
    <s v="B20415"/>
    <x v="8"/>
    <s v="Nozzler malfunction"/>
    <s v="SIRENE DE MOVIMENTO QUEIMADA"/>
    <m/>
    <n v="1797"/>
    <s v="Closed"/>
    <d v="2025-04-02T00:00:00"/>
    <d v="2025-04-15T00:00:00"/>
    <d v="2024-03-28T00:00:00"/>
    <d v="2024-04-04T00:00:00"/>
    <s v="22F-06-33420"/>
    <s v="Aparelho de sinalização acústica"/>
    <s v="ACCESSORY &amp; PARTS"/>
    <s v="INTERFERENCE"/>
    <s v="KDB (Plant) (51)"/>
    <m/>
    <s v="Completed"/>
    <d v="2025-04-25T00:00:00"/>
    <x v="1"/>
    <s v="KBI (9447)"/>
    <d v="2025-04-25T00:00:00"/>
    <s v="Realizamos o diagnostico registrado em vídeos que estamos anexando em anexo."/>
    <s v="Neia Sene"/>
    <s v="213PRB"/>
    <n v="23"/>
    <s v="FY2025"/>
    <n v="2025"/>
  </r>
  <r>
    <s v="KBISP202504518"/>
    <s v="PC130LC-10M0, ARM, Arm Assembly, FRACTURE,   "/>
    <s v="PC130LC-10M0"/>
    <s v="B20340"/>
    <x v="14"/>
    <s v="Arm crack - AB25018 - FCB25016"/>
    <m/>
    <m/>
    <n v="2532"/>
    <s v="Closed"/>
    <d v="2025-04-14T00:00:00"/>
    <m/>
    <d v="2023-09-29T00:00:00"/>
    <d v="2023-12-28T00:00:00"/>
    <s v="204-943-0030"/>
    <s v="Arm Assembly"/>
    <s v="ARM"/>
    <s v="FRACTURE"/>
    <s v="KDB (Plant) (51)"/>
    <m/>
    <s v="Completed"/>
    <d v="2025-04-23T00:00:00"/>
    <x v="5"/>
    <s v="KBI (9447)"/>
    <d v="2025-04-23T00:00:00"/>
    <s v="O cliente, fidelizado à marca Komatsu e com histórico de revisões preventivas e aquisição de componentes diretamente na concessionária, utiliza exclusivamente peças originais Komatsu."/>
    <s v="Gabriel Augusto"/>
    <s v="213ESD"/>
    <n v="9"/>
    <s v="FY2025"/>
    <n v="2025"/>
  </r>
  <r>
    <s v="KBISP202504513"/>
    <s v="PC130LC-10M0, MAIN FRAME &amp; OUT-RIGGER, 202-70-61160, LOOSEN,   "/>
    <s v="PC130LC-10M0"/>
    <s v="B20162"/>
    <x v="16"/>
    <s v="Boom bushing wear"/>
    <m/>
    <m/>
    <n v="6340"/>
    <s v="Closed"/>
    <d v="2025-03-21T00:00:00"/>
    <m/>
    <d v="2022-09-26T00:00:00"/>
    <d v="2022-10-27T00:00:00"/>
    <s v="202-70-61160"/>
    <s v="202-70-61160"/>
    <s v="MAIN FRAME &amp; OUT-RIGGER"/>
    <s v="LOOSEN"/>
    <s v="KDB (Plant) (51)"/>
    <m/>
    <s v="Completed"/>
    <d v="2025-04-17T00:00:00"/>
    <x v="5"/>
    <s v="KBI (9447)"/>
    <d v="2025-04-17T00:00:00"/>
    <s v="O cliente possui duas escavadeiras hidráulica, sendo PC130LC-10M0 / B20109 e PC130LC-10M0 / B20162 , cliente adquiriu pinos e buchas com a concessionária."/>
    <s v="Gabriel Augusto"/>
    <s v="213ESD"/>
    <n v="27"/>
    <s v="FY2025"/>
    <n v="2025"/>
  </r>
  <r>
    <s v="KBIMB202504503"/>
    <s v="PC130LC-10M0, CAB ASS'Y GROUP, cabine, DEFECTIVE APPEARANCE,   "/>
    <s v="PC130LC-10M0"/>
    <s v="B20557"/>
    <x v="12"/>
    <s v="Cabin front painting"/>
    <m/>
    <m/>
    <n v="311"/>
    <s v="Plant.QA Approved"/>
    <d v="2025-03-31T00:00:00"/>
    <m/>
    <d v="2024-10-11T00:00:00"/>
    <m/>
    <s v="0"/>
    <s v="cabine"/>
    <s v="CAB ASS'Y GROUP"/>
    <s v="DEFECTIVE APPEARANCE"/>
    <s v="KDB (Plant) (51)"/>
    <s v="KDB - Quality Assurance"/>
    <s v="In Process"/>
    <d v="2025-04-08T00:00:00"/>
    <x v="3"/>
    <s v="KBI (9447)"/>
    <d v="2025-04-08T00:00:00"/>
    <s v="Com base nas informações, trata-se de uma possível falha de pintura ou falha de produto._x000a_Cabine apresentou marcas e manchas de oxidação em grandes partes próximo ao para-brisa frontal."/>
    <s v="Whasterley Silva"/>
    <s v="213I"/>
    <n v="8"/>
    <s v="FY2025"/>
    <n v="2025"/>
  </r>
  <r>
    <s v="KBISP202504500"/>
    <s v="PC130LC-10M0, ENGINE ASSY, Silencioso, ABNORMAL NOISE,   "/>
    <s v="PC130LC-10M0"/>
    <s v="B20364"/>
    <x v="13"/>
    <s v="Abnormal noise on muffler (before countermeasure)"/>
    <m/>
    <m/>
    <n v="1080"/>
    <s v="Closed"/>
    <d v="2025-03-10T00:00:00"/>
    <d v="2025-03-30T00:00:00"/>
    <d v="2023-11-09T00:00:00"/>
    <d v="2024-08-13T00:00:00"/>
    <s v="6271-11-5230"/>
    <s v="Silencioso"/>
    <s v="ENGINE ASSY"/>
    <s v="ABNORMAL NOISE"/>
    <s v="KDB (Plant) (51)"/>
    <m/>
    <s v="Completed"/>
    <d v="2025-04-04T00:00:00"/>
    <x v="5"/>
    <s v="KBI (9447)"/>
    <d v="2025-04-04T00:00:00"/>
    <s v="Cliente fidelista, todas as revisões do equipamento feitas na concessionária, cliente possui contrato PMP."/>
    <s v="Gabriel Augusto"/>
    <s v="213ESD"/>
    <n v="25"/>
    <s v="FY2025"/>
    <n v="2025"/>
  </r>
  <r>
    <s v="KBIMB202504500"/>
    <s v="PC130LC-10M0, ENGINE ASSY, respiro, ENTER/LEAKS,   "/>
    <s v="PC130LC-10M0"/>
    <s v="B20438"/>
    <x v="17"/>
    <s v="Breather"/>
    <m/>
    <m/>
    <n v="1239"/>
    <s v="Closed"/>
    <d v="2025-03-24T00:00:00"/>
    <m/>
    <d v="2024-04-30T00:00:00"/>
    <d v="2024-07-08T00:00:00"/>
    <s v="6150-21-6750"/>
    <s v="respiro"/>
    <s v="ENGINE ASSY"/>
    <s v="ENTER/LEAKS"/>
    <s v="KDB (Plant) (51)"/>
    <m/>
    <s v="Completed"/>
    <d v="2025-04-01T00:00:00"/>
    <x v="3"/>
    <s v="KBI (9447)"/>
    <d v="2025-04-01T00:00:00"/>
    <s v="Com base nas informações citadas, trata-se de uma possivel falha de produto._x000a_A parte do respiro possivelmente perdeu a cola ou quebrou. Sera retirado a imagem do motor para identificação melhor da fabrica."/>
    <s v="Whasterley Silva"/>
    <s v="213I"/>
    <n v="8"/>
    <s v="FY2025"/>
    <n v="2025"/>
  </r>
  <r>
    <s v="KBISP202503521"/>
    <s v="PC130LC-10M0, MACHINE, Chapa, DEFECTIVE INSTALLATION,   "/>
    <s v="PC130LC-10M0"/>
    <s v="B20606"/>
    <x v="1"/>
    <s v="Cover"/>
    <m/>
    <m/>
    <n v="150"/>
    <s v="Closed"/>
    <d v="2025-03-14T00:00:00"/>
    <m/>
    <d v="2025-01-23T00:00:00"/>
    <d v="2025-02-06T00:00:00"/>
    <s v="204-54-76150"/>
    <s v="Chapa"/>
    <s v="MACHINE"/>
    <s v="DEFECTIVE INSTALLATION"/>
    <s v="KDB (Plant) (51)"/>
    <m/>
    <s v="Completed"/>
    <d v="2025-03-26T00:00:00"/>
    <x v="5"/>
    <s v="KBI (9447)"/>
    <d v="2025-03-26T00:00:00"/>
    <m/>
    <s v="Vinícius Barbosa"/>
    <s v="213SPA"/>
    <n v="12"/>
    <s v="FY2024"/>
    <n v="2025"/>
  </r>
  <r>
    <s v="KBIMB202503509"/>
    <s v="PC130LC-10M0, FINAL DRIVE, dualcone, ENTER/LEAKS,   "/>
    <s v="PC130LC-10M0"/>
    <s v="B20371"/>
    <x v="32"/>
    <s v="Dualcone"/>
    <m/>
    <m/>
    <n v="1976"/>
    <s v="Closed"/>
    <d v="2025-03-14T00:00:00"/>
    <m/>
    <d v="2023-11-23T00:00:00"/>
    <d v="2024-02-06T00:00:00"/>
    <s v="203-60-17310"/>
    <s v="dualcone"/>
    <s v="FINAL DRIVE"/>
    <s v="ENTER/LEAKS"/>
    <s v="KDB (Plant) (51)"/>
    <m/>
    <s v="Completed"/>
    <d v="2025-03-25T00:00:00"/>
    <x v="3"/>
    <s v="KBI (9447)"/>
    <d v="2025-03-25T00:00:00"/>
    <s v="Com base nas informações citadas, trata-se de uma possivel falha de produto._x000a_Apos abertura do componente, nao foi identificado nenhum dano interno e desgaste dos components internos apresenta-se normal."/>
    <s v="Whasterley Silva"/>
    <s v="213I"/>
    <n v="11"/>
    <s v="FY2024"/>
    <n v="2025"/>
  </r>
  <r>
    <s v="KBISP202503518"/>
    <s v="PC130LC-10M0, ELECTRICAL SYSTEM, Buzina, INTERFERENCE,   "/>
    <s v="PC130LC-10M0"/>
    <s v="B20573"/>
    <x v="8"/>
    <s v="Nozzler wiring"/>
    <m/>
    <m/>
    <n v="442"/>
    <s v="Closed"/>
    <d v="2025-03-13T00:00:00"/>
    <m/>
    <d v="2024-11-26T00:00:00"/>
    <d v="2024-12-17T00:00:00"/>
    <s v="08160-72400"/>
    <s v="Buzina"/>
    <s v="ELECTRICAL SYSTEM"/>
    <s v="INTERFERENCE"/>
    <s v="KDB (Plant) (51)"/>
    <m/>
    <s v="Completed"/>
    <d v="2025-03-20T00:00:00"/>
    <x v="5"/>
    <s v="KBI (9447)"/>
    <d v="2025-03-20T00:00:00"/>
    <m/>
    <s v="Vinícius Barbosa"/>
    <s v="213SPA"/>
    <n v="7"/>
    <s v="FY2024"/>
    <n v="2025"/>
  </r>
  <r>
    <s v="KBIC1202503501"/>
    <s v="PC130LC-10M0, ARM, BRAÇO DA LANÇA, BROKEN, TRICA NO BRAÇO DA CAÇAMBA E DO PROTETOR.  "/>
    <s v="PC130LC-10M0"/>
    <s v="B20307"/>
    <x v="14"/>
    <s v="Arm crack - AB25018 - FCB25016"/>
    <s v="TRICA NO BRAÇO DA CAÇAMBA E DO PROTETOR."/>
    <m/>
    <n v="1763"/>
    <s v="Closed"/>
    <d v="2025-03-12T00:00:00"/>
    <m/>
    <d v="2023-08-02T00:00:00"/>
    <d v="2023-09-27T00:00:00"/>
    <s v="204-70-00480"/>
    <s v="BRAÇO DA LANÇA"/>
    <s v="ARM"/>
    <s v="BROKEN"/>
    <s v="KDB (Plant) (51)"/>
    <m/>
    <s v="Completed"/>
    <d v="2025-03-13T00:00:00"/>
    <x v="9"/>
    <s v="KBI (9447)"/>
    <d v="2025-03-13T00:00:00"/>
    <s v="REALIZAMOS O TESTE DE LIQUIDO PENETRANTE (LP) PARA EVIDENCIAR AS DIMENSÕES E PROPAGAÇÃO DA TRINCA, ENCONTRAMOS A TRINCA DO LADO DIREITO MEDINDO 18 CENTIMETROS E A TRINCA DO LADO ESQUERDO COM 4 CENTIMENTROS. AINDA NÃO CORRIGIMOS A FALHA, AGUARDAMOS QUAIS PROCEDIMENTOS DEVEMOS REALIZAR. MEDIÇÃO DA CAÇAMBA É DE 0.73M³"/>
    <s v="Caio Herber"/>
    <s v="213CEB"/>
    <n v="1"/>
    <s v="FY2024"/>
    <n v="2025"/>
  </r>
  <r>
    <s v="KBI1F202503508"/>
    <s v="PC130LC-10M0, AIR CONDITIONER, DUTO DE AR, LOOSEN, DESENCAIXE DO DUTO DO AR CONDICIONADO  "/>
    <s v="PC130LC-10M0"/>
    <s v="B20477"/>
    <x v="4"/>
    <s v="A/C"/>
    <s v="DESENCAIXE DO DUTO DO AR CONDICIONADO"/>
    <m/>
    <n v="472"/>
    <s v="Closed"/>
    <d v="2025-02-24T00:00:00"/>
    <d v="2025-02-24T00:00:00"/>
    <d v="2024-06-19T00:00:00"/>
    <d v="2024-08-23T00:00:00"/>
    <s v="20Y-53-13381"/>
    <s v="DUTO DE AR"/>
    <s v="AIR CONDITIONER"/>
    <s v="LOOSEN"/>
    <s v="KDB (Plant) (51)"/>
    <m/>
    <s v="Completed"/>
    <d v="2025-03-10T00:00:00"/>
    <x v="8"/>
    <s v="KBI (9447)"/>
    <d v="2025-03-10T00:00:00"/>
    <m/>
    <s v="Franciele Ferreira"/>
    <s v="213RSC"/>
    <n v="14"/>
    <s v="FY2024"/>
    <n v="2025"/>
  </r>
  <r>
    <s v="KBIPR202503503"/>
    <s v="PC130LC-10M0, ACCESSORY &amp; PARTS, Controladora, DEFECTIVE APPEARANCE, FALHA NO MODULO DO SISTEMA HIDRÁULICO  "/>
    <s v="PC130LC-10M0"/>
    <s v="B20403"/>
    <x v="9"/>
    <s v="Hyd. Controller"/>
    <s v="FALHA NO MODULO DO SISTEMA HIDRÁULICO"/>
    <m/>
    <n v="1249"/>
    <s v="Closed"/>
    <d v="2025-02-19T00:00:00"/>
    <m/>
    <d v="2024-03-13T00:00:00"/>
    <d v="2024-03-27T00:00:00"/>
    <s v="7835-51-4001"/>
    <s v="Controladora"/>
    <s v="ACCESSORY &amp; PARTS"/>
    <s v="DEFECTIVE APPEARANCE"/>
    <s v="KDB (Plant) (51)"/>
    <m/>
    <s v="Completed"/>
    <d v="2025-03-10T00:00:00"/>
    <x v="1"/>
    <s v="KBI (9447)"/>
    <d v="2025-03-10T00:00:00"/>
    <s v="Foi retirado o módulo e foi testado em outro equipamento do mesmo modelo e gerou a mesma falha, portanto será necessário a substituição do módulo do sistema hidráulico."/>
    <s v="Neia Sene"/>
    <s v="213PRB"/>
    <n v="19"/>
    <s v="FY2024"/>
    <n v="2025"/>
  </r>
  <r>
    <s v="KBIPR202503500"/>
    <s v="PC130LC-10M0, ACCESSORY &amp; PARTS, MOLA ESTICADOR, BROKEN, QUEBRA DA MOLA DO ESTICADOR  "/>
    <s v="PC130LC-10M0"/>
    <s v="B20403"/>
    <x v="33"/>
    <s v="Recoil spring break"/>
    <s v="QUEBRA DA MOLA DO ESTICADOR"/>
    <m/>
    <n v="1259"/>
    <s v="Closed"/>
    <d v="2025-02-25T00:00:00"/>
    <m/>
    <d v="2024-03-13T00:00:00"/>
    <d v="2024-03-27T00:00:00"/>
    <s v="22B-30-31341"/>
    <s v="MOLA ESTICADOR"/>
    <s v="ACCESSORY &amp; PARTS"/>
    <s v="BROKEN"/>
    <s v="KDB (Plant) (51)"/>
    <m/>
    <s v="Completed"/>
    <d v="2025-03-06T00:00:00"/>
    <x v="1"/>
    <s v="KBI (9447)"/>
    <d v="2025-03-07T00:00:00"/>
    <m/>
    <s v="Neia Sene"/>
    <s v="213PRB"/>
    <n v="10"/>
    <s v="FY2024"/>
    <n v="2025"/>
  </r>
  <r>
    <s v="KBI1F202503502"/>
    <s v="PC130LC-10M0, OTHERS, SEM PECA, OTHER, BUZINA NÃO FUNCIONA  "/>
    <s v="PC130LC-10M0"/>
    <s v="B20445"/>
    <x v="8"/>
    <s v="Nozzler wiring"/>
    <s v="BUZINA NÃO FUNCIONA"/>
    <m/>
    <n v="1170"/>
    <s v="Closed"/>
    <d v="2025-02-18T00:00:00"/>
    <d v="2025-02-18T00:00:00"/>
    <d v="2024-05-10T00:00:00"/>
    <d v="2024-07-04T00:00:00"/>
    <s v="SEM PECA"/>
    <s v="SEM PECA"/>
    <s v="OTHERS"/>
    <s v="OTHER"/>
    <s v="KDB (Plant) (51)"/>
    <m/>
    <s v="Completed"/>
    <d v="2025-03-03T00:00:00"/>
    <x v="8"/>
    <s v="KBI (9447)"/>
    <d v="2025-03-03T00:00:00"/>
    <m/>
    <s v="Franciele Ferreira"/>
    <s v="213RSC"/>
    <n v="13"/>
    <s v="FY2024"/>
    <n v="2025"/>
  </r>
  <r>
    <s v="KBIPR202502510"/>
    <s v="PC130-10M0, ARM, braço, DEFECTIVE ADJUSTMENT, FOLGA ENTRE BRAÇO E LANÇA E PÉ DA LANÇA  "/>
    <s v="PC130-10M0"/>
    <s v="B20462"/>
    <x v="14"/>
    <s v="Bushing and Pin wear"/>
    <s v="FOLGA ENTRE BRAÇO E LANÇA E PÉ DA LANÇA"/>
    <m/>
    <n v="748"/>
    <s v="Plant.QA Approved"/>
    <d v="2025-02-10T00:00:00"/>
    <m/>
    <d v="2024-05-28T00:00:00"/>
    <d v="2024-07-08T00:00:00"/>
    <s v="x"/>
    <s v="braço"/>
    <s v="ARM"/>
    <s v="DEFECTIVE ADJUSTMENT"/>
    <s v="KDB (Plant) (51)"/>
    <s v="KDB - Quality Assurance"/>
    <s v="In Process"/>
    <d v="2025-02-25T00:00:00"/>
    <x v="1"/>
    <s v="KBI (9447)"/>
    <d v="2025-02-25T00:00:00"/>
    <s v="Cliente esta irredutível, possui plano de manutenção ativo para o equipamento. Sugerimos uma possível visita técnica da Komatsu para que ele possa se sentir mais amparado. O cliente ate questionou, que se não resolverem  ira acessar meios judiciais para que seja resolvido."/>
    <s v="Neia Sene"/>
    <s v="213PRB"/>
    <n v="15"/>
    <s v="FY2024"/>
    <n v="2025"/>
  </r>
  <r>
    <s v="KBISP202502519"/>
    <s v="PC130LC-10M0, ENGINE ASSY, MUFFLER, MALFUNCTION,   "/>
    <s v="PC130LC-10M0"/>
    <s v="B20312"/>
    <x v="13"/>
    <s v="Abnormal noise on muffler (before countermeasure)"/>
    <m/>
    <m/>
    <n v="2461"/>
    <s v="Closed"/>
    <d v="2025-02-14T00:00:00"/>
    <m/>
    <d v="2023-08-07T00:00:00"/>
    <d v="2023-10-03T00:00:00"/>
    <s v="6271-11-5230"/>
    <s v="MUFFLER"/>
    <s v="ENGINE ASSY"/>
    <s v="MALFUNCTION"/>
    <s v="KDB (Plant) (51)"/>
    <m/>
    <s v="Completed"/>
    <d v="2025-02-21T00:00:00"/>
    <x v="5"/>
    <s v="KBI (9447)"/>
    <d v="2025-02-24T00:00:00"/>
    <m/>
    <s v="Caio Rodrigues"/>
    <s v="213ESD"/>
    <n v="10"/>
    <s v="FY2024"/>
    <n v="2025"/>
  </r>
  <r>
    <s v="KBISP202502515"/>
    <s v="PC130LC-10M0, ENGINE ASSY, gasket, ENTER/LEAKS, VAZAM. PELA PLACA DE REFORÇO DO CÁRTER  "/>
    <s v="PC130LC-10M0"/>
    <s v="B20291"/>
    <x v="15"/>
    <s v="Head leak"/>
    <s v="VAZAM. PELA PLACA DE REFORÇO DO CÁRTER"/>
    <m/>
    <n v="2501"/>
    <s v="Plant.QA Approved"/>
    <d v="2025-02-17T00:00:00"/>
    <m/>
    <d v="2023-07-14T00:00:00"/>
    <d v="2023-09-05T00:00:00"/>
    <s v="6204-21-5812"/>
    <s v="gasket"/>
    <s v="ENGINE ASSY"/>
    <s v="ENTER/LEAKS"/>
    <s v="KDB (Plant) (51)"/>
    <s v="KDB - Quality Assurance"/>
    <s v="In Process"/>
    <d v="2025-02-17T00:00:00"/>
    <x v="5"/>
    <s v="KBI (9447)"/>
    <d v="2025-02-17T00:00:00"/>
    <m/>
    <s v="Caio Rodrigues"/>
    <s v="213ESD"/>
    <n v="0"/>
    <s v="FY2024"/>
    <n v="2025"/>
  </r>
  <r>
    <s v="KBISP202502513"/>
    <s v="PC130-10M0, ELECTRICAL SYSTEM, Sensor de pressão de libertação, INTERFERENCE,   "/>
    <s v="PC130-10M0"/>
    <s v="B20466"/>
    <x v="8"/>
    <s v="Sensor"/>
    <m/>
    <m/>
    <n v="143"/>
    <s v="Closed"/>
    <d v="2025-01-10T00:00:00"/>
    <m/>
    <d v="2024-05-30T00:00:00"/>
    <d v="2024-11-18T00:00:00"/>
    <s v="6252-11-2901"/>
    <s v="Sensor de pressão de libertação"/>
    <s v="ELECTRICAL SYSTEM"/>
    <s v="INTERFERENCE"/>
    <s v="KDB (Plant) (51)"/>
    <m/>
    <s v="Completed"/>
    <d v="2025-02-12T00:00:00"/>
    <x v="5"/>
    <s v="KBI (9447)"/>
    <d v="2025-02-12T00:00:00"/>
    <m/>
    <s v="Vinícius Barbosa"/>
    <s v="213SPA"/>
    <n v="33"/>
    <s v="FY2024"/>
    <n v="2025"/>
  </r>
  <r>
    <s v="KBI1F202502505"/>
    <s v="PC130LC-10M0, AIR CONDITIONER, SERVO MOTOR, MALFUNCTION, AR CONDICIONADO NÃO FUNCIONA  "/>
    <s v="PC130LC-10M0"/>
    <s v="B20442"/>
    <x v="4"/>
    <s v="A/C"/>
    <s v="AR CONDICIONADO NÃO FUNCIONA"/>
    <m/>
    <n v="364"/>
    <s v="Closed"/>
    <d v="2025-01-14T00:00:00"/>
    <d v="2025-01-27T00:00:00"/>
    <d v="2024-05-09T00:00:00"/>
    <d v="2024-07-05T00:00:00"/>
    <s v="ND063800-0300"/>
    <s v="SERVO MOTOR"/>
    <s v="AIR CONDITIONER"/>
    <s v="MALFUNCTION"/>
    <s v="KDB (Plant) (51)"/>
    <m/>
    <s v="Completed"/>
    <d v="2025-02-11T00:00:00"/>
    <x v="8"/>
    <s v="KBI (9447)"/>
    <d v="2025-02-11T00:00:00"/>
    <m/>
    <s v="Franciele Ferreira"/>
    <s v="213RSC"/>
    <n v="28"/>
    <s v="FY2024"/>
    <n v="2025"/>
  </r>
  <r>
    <s v="KBISP202502511"/>
    <s v="PC130LC-10M0, ENGINE ASSY, Retentor do virabrequim, ENTER/LEAKS, Retentor do virabrequim  "/>
    <s v="PC130LC-10M0"/>
    <s v="B20326"/>
    <x v="34"/>
    <s v="Crankshaft seal"/>
    <s v="Retentor do virabrequim"/>
    <m/>
    <n v="2339"/>
    <s v="Closed"/>
    <d v="2025-02-07T00:00:00"/>
    <m/>
    <d v="2023-09-18T00:00:00"/>
    <d v="2023-10-16T00:00:00"/>
    <s v="6204-21-3531"/>
    <s v="Retentor do virabrequim"/>
    <s v="ENGINE ASSY"/>
    <s v="ENTER/LEAKS"/>
    <s v="KDB (Plant) (51)"/>
    <m/>
    <s v="Completed"/>
    <d v="2025-02-11T00:00:00"/>
    <x v="5"/>
    <s v="KBI (9447)"/>
    <d v="2025-02-11T00:00:00"/>
    <m/>
    <s v="Gabriel Bonifacio"/>
    <s v="213SPB"/>
    <n v="4"/>
    <s v="FY2024"/>
    <n v="2025"/>
  </r>
  <r>
    <s v="KBIMB202502503"/>
    <s v="PC130-10M0, MAIN FRAME &amp; OUT-RIGGER, CONTRAPESO, ENTER/LEAKS, VAZAMENTO DO CONTRAPESO  "/>
    <s v="PC130-10M0"/>
    <s v="B20593"/>
    <x v="24"/>
    <s v="Counterweight leak"/>
    <s v="VAZAMENTO DO CONTRAPESO"/>
    <m/>
    <n v="10"/>
    <s v="Plant.QA Approved"/>
    <d v="2025-02-03T00:00:00"/>
    <m/>
    <d v="2024-12-20T00:00:00"/>
    <m/>
    <s v="204-46-B1010"/>
    <s v="CONTRAPESO"/>
    <s v="MAIN FRAME &amp; OUT-RIGGER"/>
    <s v="ENTER/LEAKS"/>
    <s v="KDB (Plant) (51)"/>
    <s v="KDB - Quality Assurance"/>
    <s v="In Process"/>
    <d v="2025-02-06T00:00:00"/>
    <x v="3"/>
    <s v="KBI (9447)"/>
    <d v="2025-02-06T00:00:00"/>
    <s v="Iremos aguardar um retorno da fabrica, referente a como devemos prosseguir com este caso._x000a_Trata-se de uma possivel falha de produto._x000a_Com base nas informações citadas acima, falha na fabricação do equipamento e inspeção antes da saida da fabrica."/>
    <s v="Whasterley Silva"/>
    <s v="213I"/>
    <n v="3"/>
    <s v="FY2024"/>
    <n v="2025"/>
  </r>
  <r>
    <s v="KBI1F202502503"/>
    <s v="PC130LC-10M0, OTHERS, SEM PEÇA, OTHER, BUZINA NÃO FUNCIONA  "/>
    <s v="PC130LC-10M0"/>
    <s v="B20437"/>
    <x v="8"/>
    <s v="Nozzler wiring"/>
    <s v="BUZINA NÃO FUNCIONA"/>
    <m/>
    <n v="994"/>
    <s v="Closed"/>
    <d v="2025-01-22T00:00:00"/>
    <d v="2025-01-22T00:00:00"/>
    <d v="2024-04-30T00:00:00"/>
    <d v="2024-05-13T00:00:00"/>
    <s v="SEM PEÇA"/>
    <s v="SEM PEÇA"/>
    <s v="OTHERS"/>
    <s v="OTHER"/>
    <s v="KDB (Plant) (51)"/>
    <m/>
    <s v="Completed"/>
    <d v="2025-02-05T00:00:00"/>
    <x v="8"/>
    <s v="KBI (9447)"/>
    <d v="2025-02-05T00:00:00"/>
    <m/>
    <s v="Franciele Ferreira"/>
    <s v="213RSC"/>
    <n v="14"/>
    <s v="FY2024"/>
    <n v="2025"/>
  </r>
  <r>
    <s v="KBIPR202501517"/>
    <s v="PC130LC-10M0, SWING MOTOR, Motor de giro, Redutor de giro, ENTER/LEAKS, Maquina parada - Vazam. Motor de Giro  "/>
    <s v="PC130LC-10M0"/>
    <s v="B20587"/>
    <x v="28"/>
    <s v="Swing motor leak"/>
    <s v="Maquina parada - Vazam. Motor de Giro"/>
    <m/>
    <n v="87"/>
    <s v="Plant.QA Approved"/>
    <d v="2025-01-23T00:00:00"/>
    <m/>
    <d v="2024-12-18T00:00:00"/>
    <m/>
    <s v="706-7C-01040, 203-26-80500"/>
    <s v="Motor de giro, Redutor de giro"/>
    <s v="SWING MOTOR"/>
    <s v="ENTER/LEAKS"/>
    <s v="KDB (Plant) (51)"/>
    <s v="KDB - Quality Assurance"/>
    <s v="In Process"/>
    <d v="2025-01-28T00:00:00"/>
    <x v="1"/>
    <s v="KBI (9447)"/>
    <d v="2025-01-28T00:00:00"/>
    <s v="Equipamento está parado no momento devido a falta de óleo hidráulico."/>
    <s v="Luan Gustavo"/>
    <s v="213PRB"/>
    <n v="5"/>
    <s v="FY2024"/>
    <n v="2025"/>
  </r>
  <r>
    <s v="KBISP202501522"/>
    <s v="PC130LC-10M0, ENGINE ASSY, 6271-11-5230, MALFUNCTION,   "/>
    <s v="PC130LC-10M0"/>
    <s v="B20222"/>
    <x v="13"/>
    <s v="Abnormal noise on muffler (before countermeasure)"/>
    <m/>
    <m/>
    <n v="3084"/>
    <s v="Closed"/>
    <d v="2025-01-28T00:00:00"/>
    <m/>
    <d v="2022-11-29T00:00:00"/>
    <d v="2023-05-16T00:00:00"/>
    <s v="6271-11-5230"/>
    <s v="6271-11-5230"/>
    <s v="ENGINE ASSY"/>
    <s v="MALFUNCTION"/>
    <s v="KDB (Plant) (51)"/>
    <m/>
    <s v="Completed"/>
    <d v="2025-01-28T00:00:00"/>
    <x v="5"/>
    <s v="KBI (9447)"/>
    <d v="2025-01-28T00:00:00"/>
    <m/>
    <s v="Caio Rodrigues"/>
    <s v="213ESD"/>
    <n v="0"/>
    <s v="FY2024"/>
    <n v="2025"/>
  </r>
  <r>
    <s v="KBISP202501521"/>
    <s v="PC130LC-10M0, ARM, pin, DETERIORATION,   "/>
    <s v="PC130LC-10M0"/>
    <s v="B20391"/>
    <x v="14"/>
    <s v="Bushing and Pin wear"/>
    <m/>
    <m/>
    <n v="1522"/>
    <s v="Closed"/>
    <d v="2025-01-22T00:00:00"/>
    <d v="2025-01-22T00:00:00"/>
    <d v="2024-02-26T00:00:00"/>
    <d v="2024-04-01T00:00:00"/>
    <s v="22B-70-22550"/>
    <s v="pin"/>
    <s v="ARM"/>
    <s v="DETERIORATION"/>
    <s v="KDB (Plant) (51)"/>
    <m/>
    <s v="Completed"/>
    <d v="2025-01-27T00:00:00"/>
    <x v="5"/>
    <s v="KBI (9447)"/>
    <d v="2025-02-04T00:00:00"/>
    <s v="Primeira máquina do cliente ,  PMP até 2000 horas, Recentemente adquiriu mais um equipamento PC130LC-10M0"/>
    <s v="Caio Rodrigues"/>
    <s v="213ESD"/>
    <n v="13"/>
    <s v="FY2024"/>
    <n v="2025"/>
  </r>
  <r>
    <s v="KBISP202501503"/>
    <s v="PC130LC-10M0, ELECTRICAL SYSTEM, Sensor, MALFUNCTION,   "/>
    <s v="PC130LC-10M0"/>
    <s v="B20409"/>
    <x v="8"/>
    <s v="Sensor"/>
    <m/>
    <m/>
    <n v="655"/>
    <s v="Closed"/>
    <d v="2025-01-09T00:00:00"/>
    <m/>
    <d v="2024-03-25T00:00:00"/>
    <d v="2024-05-17T00:00:00"/>
    <s v="600-311-3724"/>
    <s v="Sensor"/>
    <s v="ELECTRICAL SYSTEM"/>
    <s v="MALFUNCTION"/>
    <s v="KDB (Plant) (51)"/>
    <m/>
    <s v="Completed"/>
    <d v="2025-01-15T00:00:00"/>
    <x v="5"/>
    <s v="KBI (9447)"/>
    <d v="2025-01-15T00:00:00"/>
    <m/>
    <s v="Vinícius Barbosa"/>
    <s v="213SPA"/>
    <n v="6"/>
    <s v="FY2024"/>
    <n v="2025"/>
  </r>
  <r>
    <s v="KBIPR202501507"/>
    <s v="PC130LC-10M0, ACCESSORY &amp; PARTS, SILENCIOSO, ABNOMAL NOISE, RUÍDO NO SILENCIOSO  "/>
    <s v="PC130LC-10M0"/>
    <s v="B20030"/>
    <x v="13"/>
    <s v="Abnormal noise on muffler (before countermeasure)"/>
    <s v="RUÍDO NO SILENCIOSO"/>
    <m/>
    <n v="3348"/>
    <s v="Closed"/>
    <d v="2025-01-06T00:00:00"/>
    <m/>
    <d v="2022-03-29T00:00:00"/>
    <d v="2022-04-14T00:00:00"/>
    <s v="6271-11-5230"/>
    <s v="SILENCIOSO"/>
    <s v="ACCESSORY &amp; PARTS"/>
    <s v="ABNORMAL NOISE"/>
    <s v="KDB (Plant) (51)"/>
    <m/>
    <s v="Completed"/>
    <d v="2025-01-10T00:00:00"/>
    <x v="1"/>
    <s v="KBI (9447)"/>
    <d v="2025-01-10T00:00:00"/>
    <s v="O equipamento não encontra mais dentro da garantia padrão. O cliente não tem contrato MMK para este equipamento, porém executa todas as revisões com a Vianmaq. O cliente questiona essa falha devido ao baixo horímetro._x000a_Entendemos tratar-se de uma falha prematura, por isso solicitamos análise da Komatsu para uma possivel  concessão de garantia política para essa falha, e o cliente possui vários Equipamentos Komatsu."/>
    <s v="Neia Sene"/>
    <s v="213PRB"/>
    <n v="4"/>
    <s v="FY2024"/>
    <n v="2025"/>
  </r>
  <r>
    <s v="KBIPR202501501"/>
    <s v="PC130LC-10M0, OTHERS, PINTURA, DEFECTIVE APPEARANCE, APONTAMENTOS DE QUALIDADE  "/>
    <s v="PC130LC-10M0"/>
    <s v="B20587"/>
    <x v="1"/>
    <s v="Painting"/>
    <s v="APONTAMENTOS DE QUALIDADE"/>
    <m/>
    <n v="4"/>
    <s v="Plant.QA Approved"/>
    <d v="2024-12-27T00:00:00"/>
    <m/>
    <d v="2024-12-18T00:00:00"/>
    <m/>
    <s v="XX"/>
    <s v="PINTURA"/>
    <s v="OTHERS"/>
    <s v="DEFECTIVE APPEARANCE"/>
    <s v="KDB (Plant) (51)"/>
    <s v="KDB - Quality Assurance"/>
    <s v="In Process"/>
    <d v="2025-01-02T00:00:00"/>
    <x v="1"/>
    <s v="KBI (9447)"/>
    <d v="2025-01-02T00:00:00"/>
    <s v="O objetivo é relatar o ocorrido para efeito de qualidade. Com intuito de informar a falha para que possa ter uma inspeção mais atenta ao processo."/>
    <s v="Neia Sene"/>
    <s v="213PRB"/>
    <n v="6"/>
    <s v="FY2024"/>
    <n v="2025"/>
  </r>
  <r>
    <s v="KBISP202509532"/>
    <s v="PC130LC-10M0, ACCESSORY &amp; PARTS, Cover, BROKEN,   "/>
    <s v="PC130LC-10M0"/>
    <s v="B20421"/>
    <x v="12"/>
    <s v="Console crack"/>
    <m/>
    <m/>
    <n v="2818"/>
    <s v="Sub.Received"/>
    <d v="2025-08-26T00:00:00"/>
    <m/>
    <d v="2024-04-17T00:00:00"/>
    <d v="2024-06-10T00:00:00"/>
    <s v="20Y-43-41424"/>
    <s v="Cover"/>
    <s v="ACCESSORY &amp; PARTS"/>
    <s v="BROKEN"/>
    <s v="KDB (Plant) (51)"/>
    <s v="KBI - Construction Service"/>
    <s v="In Process"/>
    <d v="2025-09-05T00:00:00"/>
    <x v="5"/>
    <s v="KBI (9447)"/>
    <d v="2025-09-05T00:00:00"/>
    <m/>
    <s v="Paulo Dias"/>
    <s v="213SPA"/>
    <n v="10"/>
    <s v="FY2025"/>
    <n v="2025"/>
  </r>
  <r>
    <s v="KBI1D202509502"/>
    <s v="PC130LC-10M0, AIR CLEANER, Elemento filtrante, ENTER/LEAKS, Elemento do filtro de ar com furo  "/>
    <s v="PC130LC-10M0"/>
    <s v="B20138"/>
    <x v="17"/>
    <s v="Air filter"/>
    <s v="Elemento do filtro de ar com furo"/>
    <m/>
    <n v="2063"/>
    <s v="Sub.Received"/>
    <d v="2025-08-19T00:00:00"/>
    <d v="2025-08-19T01:00:00"/>
    <d v="2022-08-19T01:00:00"/>
    <d v="2023-01-09T01:00:00"/>
    <s v="600-185-2500"/>
    <s v="Elemento filtrante"/>
    <s v="AIR CLEANER"/>
    <s v="ENTER/LEAKS"/>
    <s v="KDB (Plant) (51)"/>
    <s v="KBI - Construction Service"/>
    <s v="In Process"/>
    <d v="2025-09-03T00:00:00"/>
    <x v="6"/>
    <s v="KBI (9447)"/>
    <d v="2025-09-03T00:00:00"/>
    <m/>
    <s v="Ronaldo Braz"/>
    <s v="2131D"/>
    <n v="15"/>
    <s v="FY2025"/>
    <n v="2025"/>
  </r>
  <r>
    <s v="KBISP202509520"/>
    <s v="PC130LC-10M0, HYDRAULIC CONTROL VALVE, VALVULA, INTERFERENCE,   "/>
    <s v="PC130LC-10M0"/>
    <s v="B20661"/>
    <x v="21"/>
    <s v="Control valve spool"/>
    <m/>
    <m/>
    <n v="190"/>
    <s v="Sub.Received"/>
    <d v="2025-08-28T00:00:00"/>
    <m/>
    <d v="2025-03-27T00:00:00"/>
    <d v="2025-06-26T00:00:00"/>
    <s v="723-50-53600"/>
    <s v="VALVULA"/>
    <s v="HYDRAULIC CONTROL VALVE"/>
    <s v="INTERFERENCE"/>
    <s v="KDB (Plant) (51)"/>
    <s v="KBI - Construction Service"/>
    <s v="In Process"/>
    <d v="2025-09-01T00:00:00"/>
    <x v="5"/>
    <s v="KBI (9447)"/>
    <d v="2025-09-01T00:00:00"/>
    <m/>
    <s v="Paulo Dias"/>
    <s v="213SPA"/>
    <n v="4"/>
    <s v="FY2025"/>
    <n v="2025"/>
  </r>
  <r>
    <s v="KBIPR202509502"/>
    <s v="PC130LC-10M0, TRACK FRAME, ESTEIRA, ABNORMAL NOISE, ESTALO NA ESTEIRA  "/>
    <s v="PC130LC-10M0"/>
    <s v="B20450"/>
    <x v="11"/>
    <s v="Track abnormal noise"/>
    <s v="ESTALO NA ESTEIRA"/>
    <m/>
    <n v="1479"/>
    <s v="Sub.Received"/>
    <d v="2025-07-28T00:00:00"/>
    <m/>
    <d v="2024-05-13T00:00:00"/>
    <d v="2024-05-27T00:00:00"/>
    <s v="203-32-B1600"/>
    <s v="ESTEIRA"/>
    <s v="TRACK FRAME"/>
    <s v="ABNORMAL NOISE"/>
    <s v="KDB (Plant) (51)"/>
    <s v="KBI - Construction Service"/>
    <s v="In Process"/>
    <d v="2025-09-10T00:00:00"/>
    <x v="1"/>
    <s v="KBI (9447)"/>
    <d v="2025-09-10T00:00:00"/>
    <s v="O operador relatou que, após o ajuste no tensionamento das esteiras, o defeito não voltou a ocorrer. Orientamos o cliente quanto à necessidade de acompanhamento contínuo do equipamento durante as operações de trabalho, a fim de monitorar qualquer recorrência da falha._x000a_Mas, o cliente demonstrou preocupação com o corrido."/>
    <m/>
    <e v="#VALUE!"/>
    <n v="44"/>
    <s v="FY2025"/>
    <n v="2025"/>
  </r>
  <r>
    <s v="KBISP202509535"/>
    <s v="PC130LC-10M0, ARM, Pino, FRACTURE,   "/>
    <s v="PC130LC-10M0"/>
    <s v="B20109"/>
    <x v="2"/>
    <s v="Arm cylinder pin break - AB25032 / FCB25040"/>
    <m/>
    <m/>
    <n v="6846"/>
    <s v="Sub.Received"/>
    <d v="2025-09-08T00:00:00"/>
    <m/>
    <d v="2022-07-18T00:00:00"/>
    <d v="2022-10-27T00:00:00"/>
    <s v="203-70-42122"/>
    <s v="Pino"/>
    <s v="ARM"/>
    <s v="FRACTURE"/>
    <s v="KDB (Plant) (51)"/>
    <s v="KBI - Construction Service"/>
    <s v="In Process"/>
    <d v="2025-09-10T00:00:00"/>
    <x v="5"/>
    <s v="KBI (9447)"/>
    <d v="2025-09-10T00:00:00"/>
    <s v="Cliente frotista Komatsu, possuindo duas Escavadeiras Hidráulicas, sendo PC130LC-10M0 ( B20109) e PC130LC-10M0 (B20162), cliente extremamente rigoroso com a lubrificação diária do equipamento."/>
    <s v="Gustavo Henrique"/>
    <s v="213ESD"/>
    <n v="2"/>
    <s v="FY2025"/>
    <n v="2025"/>
  </r>
  <r>
    <s v="KBISP202509534"/>
    <s v="PC130LC-10M0, ARM, Braço, FRACTURE,   "/>
    <s v="PC130LC-10M0"/>
    <s v="B20337"/>
    <x v="14"/>
    <s v="Arm crack - AB25018 - FCB25016"/>
    <m/>
    <m/>
    <n v="3232"/>
    <s v="Sub.Received"/>
    <d v="2025-09-06T00:00:00"/>
    <m/>
    <d v="2023-09-26T00:00:00"/>
    <d v="2023-11-30T00:00:00"/>
    <s v="204-943-0030"/>
    <s v="Braço"/>
    <s v="ARM"/>
    <s v="FRACTURE"/>
    <s v="KDB (Plant) (51)"/>
    <s v="KBI - Construction Service"/>
    <s v="In Process"/>
    <d v="2025-09-09T00:00:00"/>
    <x v="5"/>
    <s v="KBI (9447)"/>
    <d v="2025-09-09T00:00:00"/>
    <s v="Atualmente, o cliente conta com duas unidades do modelo Komatsu PC130LC-10M0 (B20337) e (B20407).  Utiliza peças exclusivamente genuínas da Komatsu e realiza a lubrificação do equipamento diariamente com uma alta rigorosidade."/>
    <s v="Gustavo Henrique"/>
    <s v="213ESD"/>
    <n v="3"/>
    <s v="FY2025"/>
    <n v="2025"/>
  </r>
  <r>
    <s v="KBISP202509571"/>
    <s v="PC130LC-10M0, ARM, Braço, FRACTURE,   "/>
    <s v="PC130LC-10M0"/>
    <s v="B20024"/>
    <x v="14"/>
    <s v="Reinforcement - Arm crack - AB25018 - FCB25016"/>
    <m/>
    <m/>
    <n v="6033"/>
    <s v="Sub.Received"/>
    <d v="2025-09-23T00:00:00"/>
    <m/>
    <d v="2022-03-23T00:00:00"/>
    <d v="2022-04-11T00:00:00"/>
    <s v="204-70-00480"/>
    <s v="Braço"/>
    <s v="ARM"/>
    <s v="FRACTURE"/>
    <s v="KDB (Plant) (51)"/>
    <s v="KBI - Construction Service"/>
    <s v="In Process"/>
    <d v="2025-09-24T00:00:00"/>
    <x v="5"/>
    <s v="KBI (9447)"/>
    <d v="2025-09-24T00:00:00"/>
    <s v="Cliente realiza manutenções preventivas e corretivas com o distribuidor, realiza a compra de peças e componentes somente genuínos, operador realiza inspeções rigorosamente e segue instruções de lubrificação como informado na entrega técnica."/>
    <s v="Gustavo Henrique"/>
    <s v="213ESD"/>
    <n v="1"/>
    <s v="FY2025"/>
    <n v="2025"/>
  </r>
  <r>
    <s v="KBISP202509566"/>
    <s v="PC130LC-10M0, HYDRAULIC CONTROL VALVE, Valve Assembly, Control, DEFECTIVE ADJUSTMENT,   "/>
    <s v="PC130LC-10M0"/>
    <s v="B20755"/>
    <x v="21"/>
    <s v="Performance complain"/>
    <m/>
    <m/>
    <n v="4.7"/>
    <s v="Plant.Confirmed"/>
    <d v="2025-09-22T00:00:00"/>
    <m/>
    <d v="2025-07-30T00:00:00"/>
    <d v="2025-09-10T00:00:00"/>
    <s v="723-56-15804"/>
    <s v="Valve Assembly, Control"/>
    <s v="HYDRAULIC CONTROL VALVE"/>
    <s v="DEFECTIVE ADJUSTMENT"/>
    <s v="KDB (Plant) (51)"/>
    <s v="KDB - Quality Assurance"/>
    <s v="In Process"/>
    <d v="2025-09-23T00:00:00"/>
    <x v="5"/>
    <s v="KBI (9447)"/>
    <d v="2025-09-23T00:00:00"/>
    <s v="Máquina nova, apenas com quatro horas, foi realizado a inspeção no equipamento após a chegada da fábrica."/>
    <s v="Gustavo Henrique"/>
    <s v="213ESD"/>
    <n v="1"/>
    <s v="FY2025"/>
    <n v="2025"/>
  </r>
  <r>
    <s v="KBISP202509565"/>
    <s v="PC130LC-10M0, HYDRAULIC CONTROL VALVE, Valve Assembly, Control, DEFECTIVE ADJUSTMENT,   "/>
    <s v="PC130LC-10M0"/>
    <s v="B20756"/>
    <x v="21"/>
    <s v="Performance complain"/>
    <m/>
    <m/>
    <n v="5"/>
    <s v="Plant.Confirmed"/>
    <d v="2025-09-22T00:00:00"/>
    <m/>
    <d v="2025-07-30T00:00:00"/>
    <d v="2025-09-10T00:00:00"/>
    <s v="723-56-15804"/>
    <s v="Valve Assembly, Control"/>
    <s v="HYDRAULIC CONTROL VALVE"/>
    <s v="DEFECTIVE ADJUSTMENT"/>
    <s v="KDB (Plant) (51)"/>
    <s v="KDB - Quality Assurance"/>
    <s v="In Process"/>
    <d v="2025-09-23T00:00:00"/>
    <x v="5"/>
    <s v="KBI (9447)"/>
    <d v="2025-09-23T00:00:00"/>
    <s v="Máquina nova, apenas com cinco horas, foi realizado a inspeção no equipamento após a chegada da fábrica."/>
    <s v="Gustavo Henrique"/>
    <s v="213ESD"/>
    <n v="1"/>
    <s v="FY2025"/>
    <n v="2025"/>
  </r>
  <r>
    <s v="KBISP202509564"/>
    <s v="PC130LC-10M0, ARM, Pino, FRACTURE,   "/>
    <s v="PC130LC-10M0"/>
    <s v="B20340"/>
    <x v="2"/>
    <s v="Arm cylinder pin break - AB25032 / FCB25040"/>
    <m/>
    <m/>
    <n v="3324"/>
    <s v="Plant.Confirmed"/>
    <d v="2025-09-22T00:00:00"/>
    <m/>
    <d v="2023-09-29T00:00:00"/>
    <d v="2023-12-28T00:00:00"/>
    <s v="203-70-42122"/>
    <s v="Pino"/>
    <s v="ARM"/>
    <s v="FRACTURE"/>
    <s v="KDB (Plant) (51)"/>
    <s v="KDB - Quality Assurance"/>
    <s v="In Process"/>
    <d v="2025-09-23T00:00:00"/>
    <x v="5"/>
    <s v="KBI (9447)"/>
    <d v="2025-09-23T00:00:00"/>
    <s v="Primeiro equipamento do cliente, realiza as manutenções preventivas com o distribuidor autorizado, realiza também a compra de componentes genuínos._x000a__x000a_Obs.: Operador realiza a lubrificação do equipamento rigorosamente, como especificado na entrega técnica."/>
    <s v="Gustavo Henrique"/>
    <s v="213ESD"/>
    <n v="1"/>
    <s v="FY2025"/>
    <n v="2025"/>
  </r>
  <r>
    <s v="KBISP202509563"/>
    <s v="PC130LC-10M0, HYDRAULIC CYLINDER, magueira, ENTER/LEAKS,   "/>
    <s v="PC130LC-10M0"/>
    <s v="B20757"/>
    <x v="2"/>
    <s v="Hose leak"/>
    <m/>
    <m/>
    <n v="29"/>
    <s v="Plant.Confirmed"/>
    <d v="2025-09-04T00:00:00"/>
    <m/>
    <d v="2025-07-31T00:00:00"/>
    <d v="2025-09-10T00:00:00"/>
    <s v="02756-20513"/>
    <s v="magueira"/>
    <s v="HYDRAULIC CYLINDER"/>
    <s v="ENTER/LEAKS"/>
    <s v="KDB (Plant) (51)"/>
    <s v="KDB - Quality Assurance"/>
    <s v="In Process"/>
    <d v="2025-09-22T00:00:00"/>
    <x v="5"/>
    <s v="KBI (9447)"/>
    <d v="2025-09-22T00:00:00"/>
    <m/>
    <s v="Paulo Dias"/>
    <s v="213SPA"/>
    <n v="18"/>
    <s v="FY2025"/>
    <n v="2025"/>
  </r>
  <r>
    <s v="KBISP202509561"/>
    <s v="PC130LC-10M0, ARM, Arm, FRACTURE,   "/>
    <s v="PC130LC-10M0"/>
    <s v="B20756"/>
    <x v="14"/>
    <s v="Reinforcement - Arm crack - AB25018 - FCB25016"/>
    <m/>
    <m/>
    <n v="4"/>
    <s v="Plant.Confirmed"/>
    <d v="2025-09-10T00:00:00"/>
    <m/>
    <d v="2025-07-30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60"/>
    <s v="PC130LC-10M0, ARM, Arm, FRACTURE,   "/>
    <s v="PC130LC-10M0"/>
    <s v="B20755"/>
    <x v="14"/>
    <s v="Reinforcement - Arm crack - AB25018 - FCB25016"/>
    <m/>
    <m/>
    <n v="3"/>
    <s v="Plant.Confirmed"/>
    <d v="2025-09-10T00:00:00"/>
    <m/>
    <d v="2025-07-30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59"/>
    <s v="PC130LC-10M0, ARM, Arm, FRACTURE,   "/>
    <s v="PC130LC-10M0"/>
    <s v="B20754"/>
    <x v="14"/>
    <s v="Reinforcement - Arm crack - AB25018 - FCB25016"/>
    <m/>
    <m/>
    <n v="3"/>
    <s v="Plant.Confirmed"/>
    <d v="2025-09-10T00:00:00"/>
    <m/>
    <d v="2025-07-29T00:00:00"/>
    <d v="2025-09-10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58"/>
    <s v="PC130LC-10M0, ARM, Arm, FRACTURE,   "/>
    <s v="PC130LC-10M0"/>
    <s v="B20787"/>
    <x v="14"/>
    <s v="Reinforcement - Arm crack - AB25018 - FCB25016"/>
    <m/>
    <m/>
    <n v="3"/>
    <s v="Plant.Confirmed"/>
    <d v="2025-09-10T00:00:00"/>
    <m/>
    <d v="2025-08-28T00:00:00"/>
    <d v="2025-08-29T00:00:00"/>
    <s v="204-70-00480"/>
    <s v="Arm"/>
    <s v="ARM"/>
    <s v="FRACTURE"/>
    <s v="KDB (Plant) (51)"/>
    <s v="KDB - Quality Assurance"/>
    <s v="In Process"/>
    <d v="2025-09-22T00:00:00"/>
    <x v="5"/>
    <s v="KBI (9447)"/>
    <d v="2025-09-22T00:00:00"/>
    <m/>
    <s v="Vinícius Barbosa"/>
    <s v="213SPA"/>
    <n v="12"/>
    <s v="FY2025"/>
    <n v="2025"/>
  </r>
  <r>
    <s v="KBISP202509573"/>
    <s v="PC130LC-10M0, KOMTRAX ASSY, Controller, DEFECTIVE INSTALLATION,   "/>
    <s v="PC130LC-10M0"/>
    <s v="B20668"/>
    <x v="9"/>
    <s v="Komtrax controller"/>
    <m/>
    <m/>
    <n v="68"/>
    <s v="Sub.Received"/>
    <d v="2025-09-17T00:00:00"/>
    <m/>
    <d v="2025-03-31T00:00:00"/>
    <d v="2025-04-24T00:00:00"/>
    <s v="7826-60-4000"/>
    <s v="Controller"/>
    <s v="KOMTRAX ASSY"/>
    <s v="DEFECTIVE INSTALLATION"/>
    <s v="KDB (Plant) (51)"/>
    <s v="KBI - Construction Service"/>
    <s v="In Process"/>
    <d v="2025-09-26T00:00:00"/>
    <x v="5"/>
    <s v="KBI (9447)"/>
    <d v="2025-09-26T00:00:00"/>
    <s v="Atualmente, o cliente conta com quatro unidades da escavadeira hidráulica Komatsu modelo PC130LC-10M0, sendo elas das séries B20666, B20667, B20668 e B20700."/>
    <s v="Gustavo Henrique"/>
    <s v="213ESD"/>
    <n v="9"/>
    <s v="FY2025"/>
    <n v="2025"/>
  </r>
  <r>
    <s v="KBIMB202510507"/>
    <s v="PC130LC-10M0, CARRIER ROLLER, Rolete, BROKEN,   "/>
    <s v="PC130LC-10M0"/>
    <s v="B20713"/>
    <x v="29"/>
    <s v="Track roller break / leak"/>
    <m/>
    <m/>
    <n v="255"/>
    <s v="Sub.Received"/>
    <d v="2025-10-17T00:00:00"/>
    <m/>
    <d v="2025-05-23T00:00:00"/>
    <m/>
    <s v="203-30-00331"/>
    <s v="Rolete"/>
    <s v="CARRIER ROLLER"/>
    <s v="BROKEN"/>
    <s v="KDB (Plant) (51)"/>
    <s v="KBI - Construction Service"/>
    <s v="In Process"/>
    <d v="2025-10-20T00:00:00"/>
    <x v="3"/>
    <s v="KBI (9447)"/>
    <d v="2025-10-20T00:00:00"/>
    <m/>
    <s v="Whasterley Silva"/>
    <s v="213I"/>
    <n v="3"/>
    <s v="FY2025"/>
    <n v="2025"/>
  </r>
  <r>
    <s v="KBISP202510516"/>
    <s v="PC130LC-10M0, TRAVEL MOTOR ASSY, Comando final L01, DETERIORATION,   "/>
    <s v="PC130LC-10M0"/>
    <s v="B20254"/>
    <x v="32"/>
    <s v="Travel motor"/>
    <m/>
    <m/>
    <n v="3530.1"/>
    <s v="Sub.Received"/>
    <d v="2025-10-16T00:00:00"/>
    <m/>
    <d v="2023-03-15T00:00:00"/>
    <d v="2023-05-22T00:00:00"/>
    <s v="203-60-17310"/>
    <s v="Comando final L01"/>
    <s v="TRAVEL MOTOR ASSY"/>
    <s v="DETERIORATION"/>
    <s v="KDB (Plant) (51)"/>
    <s v="KBI - Construction Service"/>
    <s v="In Process"/>
    <d v="2025-10-20T00:00:00"/>
    <x v="5"/>
    <s v="KBI (9447)"/>
    <d v="2025-10-20T00:00:00"/>
    <s v="Cliente realiza somente revisão com DB, adqurindo todos os componentes genuínos."/>
    <s v="Gustavo Henrique"/>
    <s v="213ESD"/>
    <n v="4"/>
    <s v="FY2025"/>
    <n v="2025"/>
  </r>
  <r>
    <s v="KBISP202510514"/>
    <s v="PC130LC-10M0, TRAVEL MOTOR ASSY, Comando final L01, FRACTURE,   "/>
    <s v="PC130LC-10M0"/>
    <s v="B20400"/>
    <x v="32"/>
    <s v="Travel motor"/>
    <m/>
    <m/>
    <n v="2559.1999999999998"/>
    <s v="Sub.Received"/>
    <d v="2025-10-16T00:00:00"/>
    <m/>
    <d v="2024-02-29T00:00:00"/>
    <d v="2024-03-19T00:00:00"/>
    <s v="203-60-17310"/>
    <s v="Comando final L01"/>
    <s v="TRAVEL MOTOR ASSY"/>
    <s v="FRACTURE"/>
    <s v="KDB (Plant) (51)"/>
    <s v="KBI - Construction Service"/>
    <s v="In Process"/>
    <d v="2025-10-20T00:00:00"/>
    <x v="5"/>
    <s v="KBI (9447)"/>
    <d v="2025-10-20T00:00:00"/>
    <s v="Cliente realizou todas as preventivas com o DB autorizado. Cliente realiza inspeção diária no equipamento, onde verifica todos os componentes e pontos necessários para manter a integridade do equipamento."/>
    <s v="Gustavo Henrique"/>
    <s v="213ESD"/>
    <n v="4"/>
    <s v="FY2025"/>
    <n v="2025"/>
  </r>
  <r>
    <s v="KBISP202510510"/>
    <s v="PC130LC-10M0, ARM, Braço, FRACTURE,   "/>
    <s v="PC130LC-10M0"/>
    <s v="B20349"/>
    <x v="14"/>
    <s v="Arm crack - AB25018 - FCB25016"/>
    <m/>
    <m/>
    <n v="3506"/>
    <s v="Sub.Received"/>
    <d v="2025-10-13T00:00:00"/>
    <m/>
    <d v="2023-10-16T00:00:00"/>
    <d v="2024-01-15T00:00:00"/>
    <s v="204-70-00480"/>
    <s v="Braço"/>
    <s v="ARM"/>
    <s v="FRACTURE"/>
    <s v="KDB (Plant) (51)"/>
    <s v="KBI - Construction Service"/>
    <s v="In Process"/>
    <d v="2025-10-13T00:00:00"/>
    <x v="5"/>
    <s v="KBI (9447)"/>
    <d v="2025-10-17T00:00:00"/>
    <s v="Cliente possui contrato de manutenção ativo, realiza a lubrificação e inspeção diária no seu equipamento. Primeiro equipamento do cliente, realiza aquisição de peças somente com o distribuidor autorizado pela Komatsu. Cliente extremamente rigoroso com as preventivas do equipamento."/>
    <s v="Gustavo Henrique"/>
    <s v="213ESD"/>
    <n v="4"/>
    <s v="FY2025"/>
    <n v="2025"/>
  </r>
  <r>
    <s v="KBI1F202510503"/>
    <s v="PC130LC-10M0, WIRING HARNESS, CHICOTE, BROKEN, BUZINA NÃO FUNCIONA  "/>
    <s v="PC130LC-10M0"/>
    <s v="B20470"/>
    <x v="8"/>
    <s v="Nozzler wiring"/>
    <s v="BUZINA NÃO FUNCIONA"/>
    <m/>
    <n v="1244"/>
    <s v="Sub.Received"/>
    <d v="2025-09-17T00:00:00"/>
    <d v="2025-09-17T00:00:00"/>
    <d v="2024-06-11T00:00:00"/>
    <d v="2024-08-01T00:00:00"/>
    <s v="20Y-06-16920"/>
    <s v="CHICOTE"/>
    <s v="WIRING HARNESS"/>
    <s v="BROKEN"/>
    <s v="KDB (Plant) (51)"/>
    <s v="KBI - Construction Service"/>
    <s v="In Process"/>
    <d v="2025-10-13T00:00:00"/>
    <x v="8"/>
    <s v="KBI (9447)"/>
    <d v="2025-10-13T00:00:00"/>
    <m/>
    <s v="Franciele Ferreira"/>
    <s v="213RSC"/>
    <n v="26"/>
    <s v="FY2025"/>
    <n v="2025"/>
  </r>
  <r>
    <s v="KBIMN202510500"/>
    <s v="PC130-10M0, ACCESSORY &amp; PARTS, BOMBA D’AGUA, MALFUNCTION,   "/>
    <s v="PC130-10M0"/>
    <s v="B20597"/>
    <x v="35"/>
    <s v="Water pump"/>
    <m/>
    <m/>
    <n v="1271"/>
    <s v="Sub.Received"/>
    <d v="2025-09-30T00:00:00"/>
    <m/>
    <d v="2024-12-30T00:00:00"/>
    <m/>
    <s v="6205-61-1304"/>
    <s v="BOMBA D’AGUA"/>
    <s v="ACCESSORY &amp; PARTS"/>
    <s v="MALFUNCTION"/>
    <s v="KDB (Plant) (51)"/>
    <s v="KBI - Construction Service"/>
    <s v="In Process"/>
    <d v="2025-10-13T00:00:00"/>
    <x v="10"/>
    <s v="KBI (9447)"/>
    <d v="2025-10-13T00:00:00"/>
    <m/>
    <s v="Matheus Igreja"/>
    <s v="213PAE"/>
    <n v="13"/>
    <s v="FY2025"/>
    <n v="2025"/>
  </r>
  <r>
    <s v="KBISP202510508"/>
    <s v="PC130LC-10M0, AIR CONDITIONER, Conector do modulo de ar condicionado, DEFECTIVE ADJUSTMENT, Conector do modulo do ar condicionado  "/>
    <s v="PC130LC-10M0"/>
    <s v="B20564"/>
    <x v="4"/>
    <s v="A/C wiring"/>
    <s v="Conector do modulo do ar condicionado"/>
    <m/>
    <n v="782"/>
    <s v="Sub.Received"/>
    <d v="2025-10-09T00:00:00"/>
    <d v="2025-10-09T00:00:00"/>
    <d v="2024-10-28T00:00:00"/>
    <d v="2024-11-27T00:00:00"/>
    <s v="2A5-979-1122"/>
    <s v="Conector do modulo de ar condicionado"/>
    <s v="AIR CONDITIONER"/>
    <s v="DEFECTIVE ADJUSTMENT"/>
    <s v="KDB (Plant) (51)"/>
    <s v="KBI - Construction Service"/>
    <s v="In Process"/>
    <d v="2025-10-10T00:00:00"/>
    <x v="5"/>
    <s v="KBI (9447)"/>
    <d v="2025-10-10T00:00:00"/>
    <m/>
    <s v="Gabriel Bonifacio"/>
    <s v="213SPB"/>
    <n v="1"/>
    <s v="FY2025"/>
    <n v="2025"/>
  </r>
  <r>
    <s v="KBIPR202510506"/>
    <s v="PC130LC-10M0, TRACK ROLLER, ESTEIRA, ABNORMAL NOISE, ESTALO NA ESTEIRA  "/>
    <s v="PC130LC-10M0"/>
    <s v="B20630"/>
    <x v="11"/>
    <s v="Track abnormal noise"/>
    <s v="ESTALO NA ESTEIRA"/>
    <m/>
    <n v="353"/>
    <s v="Sub.Received"/>
    <d v="2025-09-29T00:00:00"/>
    <m/>
    <d v="2025-02-27T00:00:00"/>
    <d v="2025-03-11T00:00:00"/>
    <s v="xx"/>
    <s v="ESTEIRA"/>
    <s v="TRACK ROLLER"/>
    <s v="ABNORMAL NOISE"/>
    <s v="KDB (Plant) (51)"/>
    <s v="KBI - Construction Service"/>
    <s v="In Process"/>
    <d v="2025-10-09T00:00:00"/>
    <x v="1"/>
    <s v="KBI (9447)"/>
    <d v="2025-10-09T00:00:00"/>
    <s v="Até o momento, o problema relatado não pôde ser reproduzido durante os testes realizados._x000a_Considerando o desgaste identificado na roda motriz direita, o componente poderá ser um potencial causador do ruído intermitente. Será necessário acompanhar o equipamento em operação, sob as condições normais de trabalho do cliente, para verificar se o problema persiste e possibilitar um diagnóstico conclusivo."/>
    <s v="Neia Sene"/>
    <s v="213PRB"/>
    <n v="10"/>
    <s v="FY2025"/>
    <n v="2025"/>
  </r>
  <r>
    <s v="KBISP202510507"/>
    <s v="PC130LC-10M0, ARM, Braço, WEAR/RUST/SCRATCHED(SURFACE),   "/>
    <s v="PC130LC-10M0"/>
    <s v="B20288"/>
    <x v="14"/>
    <s v="Bushing and Pin wear"/>
    <m/>
    <m/>
    <n v="3857"/>
    <s v="Sub.Received"/>
    <d v="2025-09-02T00:00:00"/>
    <m/>
    <d v="2023-07-13T00:00:00"/>
    <d v="2023-09-14T00:00:00"/>
    <s v="204-70-00490"/>
    <s v="Braço"/>
    <s v="ARM"/>
    <s v="WEAR/RUST/SCRATCHED(SURFACE)"/>
    <s v="KDB (Plant) (51)"/>
    <s v="KBI - Construction Service"/>
    <s v="In Process"/>
    <d v="2025-10-09T00:00:00"/>
    <x v="5"/>
    <s v="KBI (9447)"/>
    <d v="2025-10-09T00:00:00"/>
    <s v="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37"/>
    <s v="FY2025"/>
    <n v="2025"/>
  </r>
  <r>
    <s v="KBISP202510506"/>
    <s v="PC130LC-10M0, ARM, Braço, FRACTURE,   "/>
    <s v="PC130LC-10M0"/>
    <s v="B20288"/>
    <x v="14"/>
    <s v="Arm crack - AB25018 - FCB25016"/>
    <m/>
    <m/>
    <n v="3857"/>
    <s v="Sub.Received"/>
    <d v="2025-10-02T00:00:00"/>
    <m/>
    <d v="2023-07-13T00:00:00"/>
    <d v="2023-09-14T00:00:00"/>
    <s v="204-70-00480"/>
    <s v="Braço"/>
    <s v="ARM"/>
    <s v="FRACTURE"/>
    <s v="KDB (Plant) (51)"/>
    <s v="KBI - Construction Service"/>
    <s v="In Process"/>
    <d v="2025-10-09T00:00:00"/>
    <x v="5"/>
    <s v="KBI (9447)"/>
    <d v="2025-10-09T00:00:00"/>
    <s v="Cliente possui Contrato de Manutenção Ativo (PMP) para seus equipamentos Komatsu PC130LC-10M0, séries B20288 e B20754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7"/>
    <s v="FY2025"/>
    <n v="2025"/>
  </r>
  <r>
    <s v="KBISP202510505"/>
    <s v="PC130LC-10M0, ARM, Braço, WEAR/RUST/SCRATCHED(SURFACE),   "/>
    <s v="PC130LC-10M0"/>
    <s v="B20342"/>
    <x v="14"/>
    <s v="Bushing and Pin wear"/>
    <m/>
    <m/>
    <n v="3989"/>
    <s v="Sub.Received"/>
    <d v="2025-07-15T00:00:00"/>
    <m/>
    <d v="2023-09-29T00:00:00"/>
    <d v="2023-11-11T00:00:00"/>
    <s v="204-70-00490"/>
    <s v="Braço"/>
    <s v="ARM"/>
    <s v="WEAR/RUST/SCRATCHED(SURFACE)"/>
    <s v="KDB (Plant) (51)"/>
    <s v="KBI - Construction Service"/>
    <s v="In Process"/>
    <d v="2025-10-08T00:00:00"/>
    <x v="5"/>
    <s v="KBI (9447)"/>
    <d v="2025-10-08T00:00:00"/>
    <s v="Cliente possui Contrato de Manutenção Ativo (PMP) para seus equipamentos. Atualmente, o cliente possui três máquinas Komatsu modelo PC130LC-10M0, com as séries B20342, B20626 e B20480. Realiza a compra de lubrificantes e graxas exclusivamente com o distribuidor autorizado, mantendo sempre em dia as revisões e a lubrificação dos equipamentos, conforme as instruções e recomendações indicadas pela concessionária."/>
    <s v="Gustavo Henrique"/>
    <s v="213ESD"/>
    <n v="85"/>
    <s v="FY2025"/>
    <n v="2025"/>
  </r>
  <r>
    <s v="KBISP202510504"/>
    <s v="PC130LC-10M0, ARM, Braço, WEAR/RUST/SCRATCHED(SURFACE),   "/>
    <s v="PC130LC-10M0"/>
    <s v="B20370"/>
    <x v="14"/>
    <s v="Bushing and Pin wear"/>
    <m/>
    <m/>
    <n v="4214"/>
    <s v="Sub.Received"/>
    <d v="2025-08-04T00:00:00"/>
    <m/>
    <d v="2023-11-22T00:00:00"/>
    <d v="2024-02-08T00:00:00"/>
    <s v="204-70-00490"/>
    <s v="Braço"/>
    <s v="ARM"/>
    <s v="WEAR/RUST/SCRATCHED(SURFACE)"/>
    <s v="KDB (Plant) (51)"/>
    <s v="KBI - Construction Service"/>
    <s v="In Process"/>
    <d v="2025-10-08T00:00:00"/>
    <x v="5"/>
    <s v="KBI (9447)"/>
    <d v="2025-10-08T00:00:00"/>
    <s v="Cliente possui Contrato de Manutenção Ativo (PMP) para seu equipamento. O cliente possui uma máquina Komatsu PC130LC-10M0, realiza a compra de lubrificantes e graxas exclusivamente com o distribuidor autorizado, mantendo sempre em dia as revisões e a lubrificação do equipamento, conforme as instruções e recomendações indicadas pela concessionária."/>
    <s v="Gustavo Henrique"/>
    <s v="213ESD"/>
    <n v="65"/>
    <s v="FY2025"/>
    <n v="2025"/>
  </r>
  <r>
    <s v="KBIPR202510502"/>
    <s v="PC130-10M0, ACCESSORY &amp; PARTS, ASSENTO, BROKEN, ASSENTO DO OPERADOR QUEBRADO  "/>
    <s v="PC130-10M0"/>
    <s v="B20473"/>
    <x v="36"/>
    <s v="Operator seat"/>
    <s v="ASSENTO DO OPERADOR QUEBRADO"/>
    <m/>
    <n v="1867"/>
    <s v="Sub.Received"/>
    <d v="2025-10-04T00:00:00"/>
    <m/>
    <d v="2024-06-14T00:00:00"/>
    <d v="2024-09-09T00:00:00"/>
    <s v="20Y-57-42201"/>
    <s v="ASSENTO"/>
    <s v="ACCESSORY &amp; PARTS"/>
    <s v="BROKEN"/>
    <s v="KDB (Plant) (51)"/>
    <s v="KBI - Construction Service"/>
    <s v="In Process"/>
    <d v="2025-10-08T00:00:00"/>
    <x v="1"/>
    <s v="KBI (9447)"/>
    <d v="2025-10-08T00:00:00"/>
    <s v="O cliente possui um total de 04 equipamentos da marca Komatsu. O equipamento em questão está coberto por um plano de manutenção programada com vigência até 6.000 horas. A recomendação ao cliente foi aguardar o fornecimento do novo assento completo (PN 20Y-57-42201) e realizar a substituição assim que possível."/>
    <s v="Neia Sene"/>
    <s v="213PRB"/>
    <n v="4"/>
    <s v="FY2025"/>
    <n v="2025"/>
  </r>
  <r>
    <s v="KBISP202510503"/>
    <s v="PC130LC-10M0, ARM, Braço, WEAR/RUST/SCRATCHED(SURFACE),   "/>
    <s v="PC130LC-10M0"/>
    <s v="B20508"/>
    <x v="14"/>
    <s v="Bushing and Pin wear"/>
    <m/>
    <m/>
    <n v="2217"/>
    <s v="Sub.Received"/>
    <d v="2025-09-02T00:00:00"/>
    <m/>
    <d v="2024-08-08T00:00:00"/>
    <d v="2024-09-24T00:00:00"/>
    <s v="204-70-00480"/>
    <s v="Braço"/>
    <s v="ARM"/>
    <s v="WEAR/RUST/SCRATCHED(SURFACE)"/>
    <s v="KDB (Plant) (51)"/>
    <s v="KBI - Construction Service"/>
    <s v="In Process"/>
    <d v="2025-10-07T00:00:00"/>
    <x v="5"/>
    <s v="KBI (9447)"/>
    <d v="2025-10-07T00:00:00"/>
    <s v="Cliente possui Contrato de Manutenção Ativo (PMP) para seus Equipamentos, cliente possui dois Equipamentos Komatsu PC130LC-10M0 (B20289 e B20580), realiza a compra de lubrificantes e graxa somente com o distribuidor autorizado, está sempre em dias com a revisão e lubrificação do equipamento, seguindo as intruções conforme indicado pela concessionária."/>
    <s v="Gustavo Henrique"/>
    <s v="213ESD"/>
    <n v="35"/>
    <s v="FY2025"/>
    <n v="2025"/>
  </r>
  <r>
    <s v="KBISP202510526"/>
    <s v="PC130LC-10M0, HYDRAULIC CYLINDER, Cilindro, MALFUNCTION,   "/>
    <s v="PC130LC-10M0"/>
    <s v="B20368"/>
    <x v="2"/>
    <s v="Arm cylinder deformation"/>
    <m/>
    <m/>
    <n v="2041.9"/>
    <s v="Sub.Received"/>
    <d v="2025-10-22T00:00:00"/>
    <m/>
    <d v="2023-11-15T00:00:00"/>
    <d v="2024-08-23T00:00:00"/>
    <s v="707-G1-X7160"/>
    <s v="Cilindro"/>
    <s v="HYDRAULIC CYLINDER"/>
    <s v="MALFUNCTION"/>
    <s v="KDB (Plant) (51)"/>
    <s v="KBI - Construction Service"/>
    <s v="In Process"/>
    <d v="2025-10-27T00:00:00"/>
    <x v="5"/>
    <s v="KBI (9447)"/>
    <d v="2025-10-27T00:00:00"/>
    <s v="Cliente frotista Komatsu, possui Contrato de Manutenção Ativo (PMP) para seus equipamentos Komatsu PC130LC-10M0, séries B20283, B20368, B20395, B20662 e B20756. Realiza a compra de lubrificantes e graxas exclusivamente com o distribuidor autorizado, mantendo as revisões e lubrificações sempre em dia, conforme as orientações técnicas da concessionária."/>
    <s v="Gustavo Henrique"/>
    <s v="213ESD"/>
    <n v="5"/>
    <s v="FY2025"/>
    <n v="2025"/>
  </r>
  <r>
    <s v="KBISP202510523"/>
    <s v="PC130LC-10M0, ARM, Braço, WEAR/RUST/SCRATCHED(SURFACE),   "/>
    <s v="PC130LC-10M0"/>
    <s v="B20386"/>
    <x v="14"/>
    <s v="Bushing and Pin wear"/>
    <m/>
    <m/>
    <n v="2965.5"/>
    <s v="Sub.Received"/>
    <d v="2025-10-10T00:00:00"/>
    <m/>
    <d v="2024-02-20T00:00:00"/>
    <d v="2024-04-02T00:00:00"/>
    <s v="204-70-00490"/>
    <s v="Braço"/>
    <s v="ARM"/>
    <s v="WEAR/RUST/SCRATCHED(SURFACE)"/>
    <s v="KDB (Plant) (51)"/>
    <s v="KBI - Construction Service"/>
    <s v="In Process"/>
    <d v="2025-10-24T00:00:00"/>
    <x v="5"/>
    <s v="KBI (9447)"/>
    <d v="2025-10-24T00:00:00"/>
    <s v="Cliente possui Contrato de Manutenção Ativo (PMP) para seus equipamentos Komatsu PC130LC-10M0, séries B20386 e B20741."/>
    <s v="Gustavo Henrique"/>
    <s v="213ESD"/>
    <n v="14"/>
    <s v="FY2025"/>
    <n v="2025"/>
  </r>
  <r>
    <s v="KBISP202510522"/>
    <s v="PC130LC-10M0, ARM, Braço, WEAR/RUST/SCRATCHED(SURFACE),   "/>
    <s v="PC130LC-10M0"/>
    <s v="B20579"/>
    <x v="14"/>
    <s v="Bushing and Pin wear"/>
    <m/>
    <m/>
    <n v="849.7"/>
    <s v="Sub.Received"/>
    <d v="2025-08-20T00:00:00"/>
    <m/>
    <d v="2024-11-29T00:00:00"/>
    <d v="2025-02-05T00:00:00"/>
    <s v="204-70-00490"/>
    <s v="Braço"/>
    <s v="ARM"/>
    <s v="WEAR/RUST/SCRATCHED(SURFACE)"/>
    <s v="KDB (Plant) (51)"/>
    <s v="KBI - Construction Service"/>
    <s v="In Process"/>
    <d v="2025-10-24T00:00:00"/>
    <x v="5"/>
    <s v="KBI (9447)"/>
    <d v="2025-10-24T00:00:00"/>
    <s v="Cliente possui Contrato de Manutenção Ativo (PMP) para seu equipamento Komatsu PC130LC-10M0, série B20579."/>
    <s v="Gustavo Henrique"/>
    <s v="213ESD"/>
    <n v="65"/>
    <s v="FY2025"/>
    <n v="2025"/>
  </r>
  <r>
    <s v="KBISP202510518"/>
    <s v="PC130LC-10M0, ARM, Braço, FRACTURE,   "/>
    <s v="PC130LC-10M0"/>
    <s v="B20389"/>
    <x v="14"/>
    <s v="Arm crack - AB25018 - FCB25016"/>
    <m/>
    <m/>
    <n v="2914.2"/>
    <s v="Closed"/>
    <d v="2025-10-17T00:00:00"/>
    <m/>
    <d v="2024-02-28T00:00:00"/>
    <d v="2024-06-27T00:00:00"/>
    <s v="204-70-00480"/>
    <s v="Braço"/>
    <s v="ARM"/>
    <s v="FRACTURE"/>
    <s v="KDB (Plant) (51)"/>
    <m/>
    <s v="Completed"/>
    <d v="2025-10-21T00:00:00"/>
    <x v="5"/>
    <s v="KBI (9447)"/>
    <d v="2025-10-21T00:00:00"/>
    <s v="O cliente possui Contrato de Manutenção Ativo (PMP) para seus equipamentos Komatsu PC130LC-10M0, séries B20389 e B20508. Realiza a compra de lubrificantes e graxas exclusivamente com o distribuidor autorizado e mantém as revisões e lubrificações sempre em dia, seguindo rigorosamente as orientações repassadas pela concessionária."/>
    <s v="Gustavo Henrique"/>
    <s v="213ESD"/>
    <n v="4"/>
    <s v="FY2025"/>
    <n v="2025"/>
  </r>
  <r>
    <s v="KBISP202510517"/>
    <s v="PC130LC-10M0, ENGINE ASSY, Roda Fônica, DEFORMATION, Roda fônica do motor amassada  "/>
    <s v="PC130LC-10M0"/>
    <s v="B20180"/>
    <x v="15"/>
    <s v="Engine phonic wheel"/>
    <s v="Roda fônica do motor amassada"/>
    <m/>
    <n v="3986"/>
    <s v="Sub.Received"/>
    <d v="2025-06-18T00:00:00"/>
    <d v="2025-10-16T00:00:00"/>
    <d v="2022-10-14T00:00:00"/>
    <d v="2023-06-01T00:00:00"/>
    <s v="6271-31-1990"/>
    <s v="Roda Fônica"/>
    <s v="ENGINE ASSY"/>
    <s v="DEFORMATION"/>
    <s v="KDB (Plant) (51)"/>
    <s v="KBI - Construction Service"/>
    <s v="In Process"/>
    <d v="2025-10-21T00:00:00"/>
    <x v="5"/>
    <s v="KBI (9447)"/>
    <d v="2025-10-21T00:00:00"/>
    <m/>
    <s v="Gabriel Bonifacio"/>
    <s v="213SPB"/>
    <n v="125"/>
    <s v="FY2025"/>
    <n v="2025"/>
  </r>
  <r>
    <s v="KBISP202510515"/>
    <s v="PC130LC-10M0, TRAVEL MOTOR ASSY, Comando final R01, FRACTURE,   "/>
    <s v="PC130LC-10M0"/>
    <s v="B20407"/>
    <x v="32"/>
    <s v="Travel motor"/>
    <m/>
    <m/>
    <n v="2242.6"/>
    <s v="Closed"/>
    <d v="2025-10-07T00:00:00"/>
    <m/>
    <d v="2024-03-25T00:00:00"/>
    <d v="2024-06-04T00:00:00"/>
    <s v="203-60-17310"/>
    <s v="Comando final R01"/>
    <s v="TRAVEL MOTOR ASSY"/>
    <s v="FRACTURE"/>
    <s v="KDB (Plant) (51)"/>
    <m/>
    <s v="Completed"/>
    <d v="2025-10-20T00:00:00"/>
    <x v="5"/>
    <s v="KBI (9447)"/>
    <d v="2025-10-21T00:00:00"/>
    <s v="Cliente realiza a substituição do fluido TO30 a cada 500 horas em seus equipamentos, adquirindo somente com o distribuidor autorizado."/>
    <s v="Gustavo Henrique"/>
    <s v="213ESD"/>
    <n v="14"/>
    <s v="FY2025"/>
    <n v="2025"/>
  </r>
  <r>
    <s v="KBISP202511521"/>
    <s v="PC130LC-10M0, ARM, Equipamento de trabalho, WEAR/RUST/SCRATCHED(SURFACE),   "/>
    <s v="PC130LC-10M0"/>
    <s v="B20311"/>
    <x v="14"/>
    <s v="Bushing and Pin wear"/>
    <m/>
    <m/>
    <n v="4556.1000000000004"/>
    <s v="Sub.Received"/>
    <d v="2025-10-15T00:00:00"/>
    <m/>
    <d v="2023-08-04T00:00:00"/>
    <d v="2023-10-19T00:00:00"/>
    <s v="204-70-00490"/>
    <s v="Equipamento de trabalho"/>
    <s v="ARM"/>
    <s v="WEAR/RUST/SCRATCHED(SURFACE)"/>
    <s v="KDB (Plant) (51)"/>
    <s v="KBI - Construction Service"/>
    <s v="In Process"/>
    <d v="2025-11-07T00:00:00"/>
    <x v="5"/>
    <s v="KBI (9447)"/>
    <d v="2025-11-08T00:00:00"/>
    <s v="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"/>
    <s v="Gustavo Henrique"/>
    <s v="213ESD"/>
    <n v="24"/>
    <s v="FY2025"/>
    <n v="2025"/>
  </r>
  <r>
    <s v="KBISP202511519"/>
    <s v="PC130LC-10M0, ARM, Braço, FRACTURE,   "/>
    <s v="PC130LC-10M0"/>
    <s v="B20311"/>
    <x v="14"/>
    <s v="Arm crack - AB25018 - FCB25016"/>
    <m/>
    <m/>
    <n v="4629.1000000000004"/>
    <s v="Sub.Received"/>
    <d v="2025-11-02T00:00:00"/>
    <m/>
    <d v="2023-08-04T00:00:00"/>
    <d v="2023-10-19T00:00:00"/>
    <s v="204-70-00480"/>
    <s v="Braço"/>
    <s v="ARM"/>
    <s v="FRACTURE"/>
    <s v="KDB (Plant) (51)"/>
    <s v="KBI - Construction Service"/>
    <s v="In Process"/>
    <d v="2025-11-07T00:00:00"/>
    <x v="5"/>
    <s v="KBI (9447)"/>
    <d v="2025-11-08T00:00:00"/>
    <s v="Cliente possui ativo o contrato de manutenção com o DB, realiza a aquisição de peças genuínas somente com o distribuidor, cliente realiza inspeção visual no equipamento rigorosamente e diariamente."/>
    <s v="Gustavo Henrique"/>
    <s v="213ESD"/>
    <n v="6"/>
    <s v="FY2025"/>
    <n v="2025"/>
  </r>
  <r>
    <s v="KBISP202511515"/>
    <s v="PC130LC-10M0, CAB ASS'Y GROUP, Cabin, DEFECTIVE APPEARANCE,   "/>
    <s v="PC130LC-10M0"/>
    <s v="B20732"/>
    <x v="12"/>
    <s v="Cabin front painting"/>
    <m/>
    <m/>
    <n v="3"/>
    <s v="Sub.Received"/>
    <d v="2025-11-06T00:00:00"/>
    <m/>
    <d v="2025-06-18T00:00:00"/>
    <d v="2025-07-31T00:00:00"/>
    <s v="20Y-954-6111"/>
    <s v="Cabin"/>
    <s v="CAB ASS'Y GROUP"/>
    <s v="DEFECTIVE APPEARANCE"/>
    <s v="KDB (Plant) (51)"/>
    <s v="KBI - Construction Service"/>
    <s v="In Process"/>
    <d v="2025-11-07T00:00:00"/>
    <x v="5"/>
    <s v="KBI (9447)"/>
    <d v="2025-11-07T00:00:00"/>
    <m/>
    <s v="Vinícius Barbosa"/>
    <s v="213SPA"/>
    <n v="1"/>
    <s v="FY2025"/>
    <n v="2025"/>
  </r>
  <r>
    <s v="KBISP202511514"/>
    <s v="PC130-10M0, CAB ASS'Y GROUP, Cabin, DEFECTIVE APPEARANCE,   "/>
    <s v="PC130-10M0"/>
    <s v="B20693"/>
    <x v="12"/>
    <s v="Cabin front painting"/>
    <m/>
    <m/>
    <n v="3"/>
    <s v="Sub.Received"/>
    <d v="2025-11-06T00:00:00"/>
    <m/>
    <d v="2025-04-29T00:00:00"/>
    <m/>
    <s v="20Y-954-6111"/>
    <s v="Cabin"/>
    <s v="CAB ASS'Y GROUP"/>
    <s v="DEFECTIVE APPEARANCE"/>
    <s v="KDB (Plant) (51)"/>
    <s v="KBI - Construction Service"/>
    <s v="In Process"/>
    <d v="2025-11-07T00:00:00"/>
    <x v="5"/>
    <s v="KBI (9447)"/>
    <d v="2025-11-07T00:00:00"/>
    <m/>
    <s v="Vinícius Barbosa"/>
    <s v="213SPA"/>
    <n v="1"/>
    <s v="FY2025"/>
    <n v="2025"/>
  </r>
  <r>
    <s v="KBISP202511513"/>
    <s v="PC130LC-10M0, CAB ASS'Y GROUP, Cabin, DEFECTIVE APPEARANCE,   "/>
    <s v="PC130LC-10M0"/>
    <s v="B20731"/>
    <x v="12"/>
    <s v="Cabin front painting"/>
    <m/>
    <m/>
    <n v="4"/>
    <s v="Closed"/>
    <d v="2025-11-06T00:00:00"/>
    <m/>
    <d v="2025-06-18T00:00:00"/>
    <d v="2025-07-31T00:00:00"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12"/>
    <s v="PC130-10M0, CAB ASS'Y GROUP, Cabin, DEFECTIVE APPEARANCE,   "/>
    <s v="PC130-10M0"/>
    <s v="B20692"/>
    <x v="12"/>
    <s v="Cabin front painting"/>
    <m/>
    <m/>
    <n v="5"/>
    <s v="Closed"/>
    <d v="2025-11-06T00:00:00"/>
    <m/>
    <d v="2025-04-29T00:00:00"/>
    <m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11"/>
    <s v="PC130-10M0, CAB ASS'Y GROUP, Cabin, DEFECTIVE APPEARANCE,   "/>
    <s v="PC130-10M0"/>
    <s v="B20594"/>
    <x v="12"/>
    <s v="Cabin front painting"/>
    <m/>
    <m/>
    <n v="5"/>
    <s v="Closed"/>
    <d v="2025-11-06T00:00:00"/>
    <m/>
    <d v="2024-12-26T00:00:00"/>
    <m/>
    <s v="20Y-954-6111"/>
    <s v="Cabin"/>
    <s v="CAB ASS'Y GROUP"/>
    <s v="DEFECTIVE APPEARANCE"/>
    <s v="KDB (Plant) (51)"/>
    <m/>
    <s v="Completed"/>
    <d v="2025-11-07T00:00:00"/>
    <x v="5"/>
    <s v="KBI (9447)"/>
    <d v="2025-11-07T00:00:00"/>
    <m/>
    <s v="Vinícius Barbosa"/>
    <s v="213SPA"/>
    <n v="1"/>
    <s v="FY2025"/>
    <n v="2025"/>
  </r>
  <r>
    <s v="KBISP202511508"/>
    <s v="PC130LC-10M0, ARM, Arm, BROKEN,   "/>
    <s v="PC130LC-10M0"/>
    <s v="B20772"/>
    <x v="14"/>
    <s v="Reinforcement - Arm crack - AB25018 - FCB25016"/>
    <m/>
    <m/>
    <n v="3"/>
    <s v="Closed"/>
    <d v="2025-10-22T00:00:00"/>
    <m/>
    <d v="2025-08-15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4"/>
    <s v="FY2025"/>
    <n v="2025"/>
  </r>
  <r>
    <s v="KBISP202511507"/>
    <s v="PC130LC-10M0, ARM, Arm, BROKEN,   "/>
    <s v="PC130LC-10M0"/>
    <s v="B20775"/>
    <x v="14"/>
    <s v="Reinforcement - Arm crack - AB25018 - FCB25016"/>
    <m/>
    <m/>
    <n v="4"/>
    <s v="Closed"/>
    <d v="2025-10-18T00:00:00"/>
    <m/>
    <d v="2025-08-15T00:00:00"/>
    <d v="2025-10-08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8"/>
    <s v="FY2025"/>
    <n v="2025"/>
  </r>
  <r>
    <s v="KBISP202511506"/>
    <s v="PC130-10M0, ARM, Arm, BROKEN,   "/>
    <s v="PC130-10M0"/>
    <s v="B20722"/>
    <x v="14"/>
    <s v="Reinforcement - Arm crack - AB25018 - FCB25016"/>
    <m/>
    <m/>
    <n v="4"/>
    <s v="Closed"/>
    <d v="2025-10-17T00:00:00"/>
    <m/>
    <d v="2025-05-30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19"/>
    <s v="FY2025"/>
    <n v="2025"/>
  </r>
  <r>
    <s v="KBISP202511505"/>
    <s v="PC130LC-10M0, ARM, Arm, BROKEN,   "/>
    <s v="PC130LC-10M0"/>
    <s v="B20777"/>
    <x v="14"/>
    <s v="Reinforcement - Arm crack - AB25018 - FCB25016"/>
    <m/>
    <m/>
    <n v="4"/>
    <s v="Closed"/>
    <d v="2025-10-15T00:00:00"/>
    <m/>
    <d v="2025-08-18T00:00:00"/>
    <d v="2025-10-02T00:00:00"/>
    <s v="204-70-00480"/>
    <s v="Arm"/>
    <s v="ARM"/>
    <s v="BROKEN"/>
    <s v="KDB (Plant) (51)"/>
    <m/>
    <s v="Completed"/>
    <d v="2025-11-05T00:00:00"/>
    <x v="5"/>
    <s v="KBI (9447)"/>
    <d v="2025-11-05T00:00:00"/>
    <m/>
    <s v="Vinícius Barbosa"/>
    <s v="213SPA"/>
    <n v="21"/>
    <s v="FY2025"/>
    <n v="2025"/>
  </r>
  <r>
    <s v="KBISP202511503"/>
    <s v="PC130LC-10M0, ARM, Arm, BROKEN,   "/>
    <s v="PC130LC-10M0"/>
    <s v="B20771"/>
    <x v="14"/>
    <s v="Reinforcement - Arm crack - AB25018 - FCB25016"/>
    <m/>
    <m/>
    <n v="4"/>
    <s v="Closed"/>
    <d v="2025-10-28T00:00:00"/>
    <m/>
    <d v="2025-08-14T00:00:00"/>
    <d v="2025-10-02T00:00:00"/>
    <s v="2A8-70-00120"/>
    <s v="Arm"/>
    <s v="ARM"/>
    <s v="BROKEN"/>
    <s v="KDB (Plant) (51)"/>
    <m/>
    <s v="Completed"/>
    <d v="2025-11-04T00:00:00"/>
    <x v="5"/>
    <s v="KBI (9447)"/>
    <d v="2025-11-05T00:00:00"/>
    <m/>
    <s v="Vinícius Barbosa"/>
    <s v="213SPA"/>
    <n v="8"/>
    <s v="FY2025"/>
    <n v="2025"/>
  </r>
  <r>
    <s v="KBISP202511502"/>
    <s v="PC130LC-10M0, ARM, Equipamento de trabalho, WEAR/RUST/SCRATCHED(SURFACE),   "/>
    <s v="PC130LC-10M0"/>
    <s v="B20547"/>
    <x v="14"/>
    <s v="Bushing and Pin wear"/>
    <m/>
    <m/>
    <n v="1923.4"/>
    <s v="Plant.Confirmed"/>
    <d v="2025-10-26T00:00:00"/>
    <m/>
    <d v="2024-09-26T00:00:00"/>
    <d v="2024-11-07T00:00:00"/>
    <s v="204-70-00480"/>
    <s v="Equipamento de trabalho"/>
    <s v="ARM"/>
    <s v="WEAR/RUST/SCRATCHED(SURFACE)"/>
    <s v="KDB (Plant) (51)"/>
    <s v="KDB - Quality Assurance"/>
    <s v="In Process"/>
    <d v="2025-11-04T00:00:00"/>
    <x v="5"/>
    <s v="KBI (9447)"/>
    <d v="2025-11-04T00:00:00"/>
    <s v="Cliente possui Contrato de Manutenção Ativo (PMP) para seu equipamento Komatsu PC130LC-10M0, série B20547. Realiza a compra de lubrificantes e graxas exclusivamente com o distribuidor autorizado, mantendo as revisões e lubrificações sempre em dia, conforme as orientações técnicas da concessionária."/>
    <s v="Gustavo Henrique"/>
    <s v="213ESD"/>
    <n v="9"/>
    <s v="FY2025"/>
    <n v="2025"/>
  </r>
  <r>
    <s v="KBISP202511501"/>
    <s v="PC130LC-10M0, ARM, Equipamento de trabalho, WEAR/RUST/SCRATCHED(SURFACE),   "/>
    <s v="PC130LC-10M0"/>
    <s v="B20454"/>
    <x v="14"/>
    <s v="Bushing and Pin wear"/>
    <m/>
    <m/>
    <n v="1851.1"/>
    <s v="Closed"/>
    <d v="2025-10-30T00:00:00"/>
    <m/>
    <d v="2024-05-21T00:00:00"/>
    <d v="2024-07-10T00:00:00"/>
    <s v="204-70-00480"/>
    <s v="Equipamento de trabalho"/>
    <s v="ARM"/>
    <s v="WEAR/RUST/SCRATCHED(SURFACE)"/>
    <s v="KDB (Plant) (51)"/>
    <m/>
    <s v="Completed"/>
    <d v="2025-11-04T00:00:00"/>
    <x v="5"/>
    <s v="KBI (9447)"/>
    <d v="2025-11-04T00:00:00"/>
    <s v="Cliente possui Contrato de Manutenção Ativo (PMP) para seus equipamentos Komatsu PC130LC-10M0, séries B20454 e B20602. Realiza a compra de lubrificantes e graxas exclusivamente com o distribuidor autorizado, mantendo as revisões e lubrificações sempre em dia, conforme as orientações técnicas da concessionária."/>
    <s v="Gustavo Henrique"/>
    <s v="213ESD"/>
    <n v="5"/>
    <s v="FY2025"/>
    <n v="2025"/>
  </r>
  <r>
    <s v="KBISP202511500"/>
    <s v="PC130LC-10M0, ARM, Equipamento de trabalho, WEAR/RUST/SCRATCHED(SURFACE),   "/>
    <s v="PC130LC-10M0"/>
    <s v="B20364"/>
    <x v="14"/>
    <s v="Bushing and Pin wear"/>
    <m/>
    <m/>
    <n v="2169.9"/>
    <s v="Plant.Confirmed"/>
    <d v="2025-10-06T00:00:00"/>
    <m/>
    <d v="2023-11-09T00:00:00"/>
    <d v="2024-08-13T00:00:00"/>
    <s v="204-70-00480"/>
    <s v="Equipamento de trabalho"/>
    <s v="ARM"/>
    <s v="WEAR/RUST/SCRATCHED(SURFACE)"/>
    <s v="KDB (Plant) (51)"/>
    <s v="KDB - Quality Assurance"/>
    <s v="In Process"/>
    <d v="2025-11-04T00:00:00"/>
    <x v="5"/>
    <s v="KBI (9447)"/>
    <d v="2025-11-04T00:00:00"/>
    <s v="Cliente possui Contrato de Manutenção Ativo (PMP) para seu equipamento Komatsu PC130LC-10M0, série B20364."/>
    <s v="Gustavo Henrique"/>
    <s v="213ESD"/>
    <n v="29"/>
    <s v="FY2025"/>
    <n v="2025"/>
  </r>
  <r>
    <s v="KBISP202509568"/>
    <s v="PC130LC-10M0, ARM, Arm, FRACTURE,   "/>
    <s v="PC130LC-10M0"/>
    <s v="B20757"/>
    <x v="14"/>
    <s v="Reinforcement - Arm crack - AB25018 - FCB25016"/>
    <m/>
    <m/>
    <n v="2"/>
    <s v="Closed"/>
    <d v="2025-09-10T00:00:00"/>
    <m/>
    <d v="2025-07-31T00:00:00"/>
    <d v="2025-09-10T00:00:00"/>
    <s v="204-70-00480"/>
    <s v="Arm"/>
    <s v="ARM"/>
    <s v="FRACTURE"/>
    <s v="KDB (Plant) (51)"/>
    <m/>
    <s v="Completed"/>
    <d v="2025-09-24T00:00:00"/>
    <x v="5"/>
    <s v="KBI (9447)"/>
    <d v="2025-11-04T00:00:00"/>
    <m/>
    <s v="Vinícius Barbosa"/>
    <s v="213SPA"/>
    <n v="55"/>
    <s v="FY2025"/>
    <n v="2025"/>
  </r>
  <r>
    <s v="KBISP202511536"/>
    <s v="PC130-10M0, OPERATOR CAB &amp; ROPS, Cabine, WEAR/RUST/SCRATCHED(SURFACE),   "/>
    <s v="PC130-10M0"/>
    <s v="B20690"/>
    <x v="12"/>
    <s v="Cabin front painting"/>
    <m/>
    <m/>
    <n v="5.5"/>
    <s v="Sub.Received"/>
    <d v="2025-11-17T00:00:00"/>
    <m/>
    <d v="2025-04-28T00:00:00"/>
    <d v="2025-11-06T00:00:00"/>
    <s v="20Y-53-01374"/>
    <s v="Cabine"/>
    <s v="OPERATOR CAB &amp; ROPS"/>
    <s v="WEAR/RUST/SCRATCHED(SURFACE)"/>
    <s v="KDB (Plant) (51)"/>
    <s v="KBI - Construction Service"/>
    <s v="In Process"/>
    <d v="2025-11-17T07:59:32"/>
    <x v="5"/>
    <s v="KBI (9447)"/>
    <d v="2025-11-17T11:02:01"/>
    <m/>
    <s v="Gustavo Henrique"/>
    <s v="213ESD"/>
    <n v="0.4597337962986785"/>
    <s v="FY2025"/>
    <n v="2025"/>
  </r>
  <r>
    <s v="KBISP202511524"/>
    <s v="PC130LC-10M0, BOOM, Pino, FRACTURE,   "/>
    <s v="PC130LC-10M0"/>
    <s v="B20253"/>
    <x v="2"/>
    <s v="Arm cylinder pin break - AB25032 / FCB25040"/>
    <m/>
    <m/>
    <n v="5042"/>
    <s v="Sub.Received"/>
    <d v="2025-11-11T00:00:00"/>
    <m/>
    <d v="2023-03-09T00:00:00"/>
    <d v="2023-05-22T00:00:00"/>
    <s v="203-70-42122"/>
    <s v="Pino"/>
    <s v="BOOM"/>
    <s v="FRACTURE"/>
    <s v="KDB (Plant) (51)"/>
    <s v="KBI - Construction Service"/>
    <s v="In Process"/>
    <d v="2025-11-11T00:00:00"/>
    <x v="5"/>
    <s v="KBI (9447)"/>
    <d v="2025-11-11T00:00:00"/>
    <m/>
    <s v="Gustavo Henrique"/>
    <s v="213ESD"/>
    <n v="0"/>
    <s v="FY2025"/>
    <n v="2025"/>
  </r>
  <r>
    <s v="KBISP202511523"/>
    <s v="PC130LC-10M0, BOOM, Pino, FRACTURE,   "/>
    <s v="PC130LC-10M0"/>
    <s v="B20347"/>
    <x v="2"/>
    <s v="Arm cylinder pin break - AB25032 / FCB25040"/>
    <m/>
    <m/>
    <n v="4227"/>
    <s v="Sub.Received"/>
    <d v="2025-11-11T00:00:00"/>
    <m/>
    <d v="2023-10-09T00:00:00"/>
    <d v="2024-03-01T00:00:00"/>
    <s v="203-70-42122"/>
    <s v="Pino"/>
    <s v="BOOM"/>
    <s v="FRACTURE"/>
    <s v="KDB (Plant) (51)"/>
    <s v="KBI - Construction Service"/>
    <s v="In Process"/>
    <d v="2025-11-11T00:00:00"/>
    <x v="5"/>
    <s v="KBI (9447)"/>
    <d v="2025-11-11T00:00:00"/>
    <s v="Cliente possui Contrato de Manutenção ativo, realiza a compra de peças somente com o DB."/>
    <s v="Gustavo Henrique"/>
    <s v="213ESD"/>
    <n v="0"/>
    <s v="FY2025"/>
    <n v="2025"/>
  </r>
  <r>
    <s v="KBISP202511522"/>
    <s v="PC130LC-10M0, ARM, Braço, WEAR/RUST/SCRATCHED(SURFACE),   "/>
    <s v="PC130LC-10M0"/>
    <s v="B20546"/>
    <x v="14"/>
    <s v="Bushing and Pin wear"/>
    <m/>
    <m/>
    <n v="1647"/>
    <s v="Sub.Received"/>
    <d v="2025-10-09T00:00:00"/>
    <m/>
    <d v="2024-09-25T00:00:00"/>
    <d v="2024-11-28T00:00:00"/>
    <s v="204-70-00490"/>
    <s v="Braço"/>
    <s v="ARM"/>
    <s v="WEAR/RUST/SCRATCHED(SURFACE)"/>
    <s v="KDB (Plant) (51)"/>
    <s v="KBI - Construction Service"/>
    <s v="In Process"/>
    <d v="2025-11-11T00:00:00"/>
    <x v="5"/>
    <s v="KBI (9447)"/>
    <d v="2025-11-11T00:00:00"/>
    <s v="Cliente possui quatro equipamentos Komatsu, todos possui contrato de manutenção ativo, cliente faz questão de extensão de contrato das máquinas."/>
    <s v="Gustavo Henrique"/>
    <s v="213ESD"/>
    <n v="33"/>
    <s v="FY2025"/>
    <n v="2025"/>
  </r>
  <r>
    <s v="KBISP202510509"/>
    <s v="PC130LC-10M0, ARM, Braço, FRACTURE,   "/>
    <s v="PC130LC-10M0"/>
    <s v="B20541"/>
    <x v="14"/>
    <s v="Arm crack - AB25018 - FCB25016"/>
    <m/>
    <m/>
    <n v="1645.8"/>
    <s v="Sub.Received"/>
    <d v="2025-10-13T00:00:00"/>
    <m/>
    <d v="2024-09-19T00:00:00"/>
    <d v="2024-11-28T00:00:00"/>
    <s v="204-943-0030"/>
    <s v="Braço"/>
    <s v="ARM"/>
    <s v="FRACTURE"/>
    <s v="KDB (Plant) (51)"/>
    <s v="KBI - Construction Service"/>
    <s v="In Process"/>
    <d v="2025-10-13T00:00:00"/>
    <x v="5"/>
    <s v="KBI (9447)"/>
    <d v="2025-11-13T00:00:00"/>
    <s v="O cliente, fidelizado à marca Komatsu e com histórico de revisões preventivas e aquisição de componentes diretamente na concessionária, possui 7 equipamentos Komatsu (B50886, B50027, B50460, B51514, B10685, B20541 e B11706), todos equipamento possui contrato de manutenção ativo."/>
    <s v="Gustavo Henrique"/>
    <s v="213ESD"/>
    <n v="31"/>
    <s v="FY2025"/>
    <n v="2025"/>
  </r>
  <r>
    <s v="KBISP202511545"/>
    <s v="PC130LC-10M0, ACCESSORY &amp; PARTS, Silencioso, MALFUNCTION,   "/>
    <s v="PC130LC-10M0"/>
    <s v="B20368"/>
    <x v="13"/>
    <s v="Abnormal noise on muffler (before countermeasure)"/>
    <m/>
    <m/>
    <n v="2102.9"/>
    <s v="Plant.Confirmed"/>
    <d v="2025-11-13T00:00:00"/>
    <m/>
    <d v="2023-11-15T00:00:00"/>
    <d v="2024-08-23T00:00:00"/>
    <s v="6271-11-5230"/>
    <s v="Silencioso"/>
    <s v="ACCESSORY &amp; PARTS"/>
    <s v="MALFUNCTION"/>
    <s v="KDB (Plant) (51)"/>
    <s v="KDB - Quality Assurance"/>
    <s v="In Process"/>
    <d v="2025-11-18T00:00:00"/>
    <x v="5"/>
    <s v="KBI (9447)"/>
    <d v="2025-11-18T00:00:00"/>
    <s v="Cliente possui 5 Equipamentos Komatsu, todos possui contrato de manutenção ativo (PMP), (B20283, B20368, B20395, B20662 e B20756)."/>
    <s v="Gustavo Henrique"/>
    <s v="213ESD"/>
    <n v="5"/>
    <s v="FY2025"/>
    <n v="2025"/>
  </r>
  <r>
    <s v="KBISP202511544"/>
    <s v="PC130LC-10M0, ARM, Arm, FRACTURE,   "/>
    <s v="PC130LC-10M0"/>
    <s v="B20786"/>
    <x v="14"/>
    <s v="Reinforcement - Arm crack - AB25018 - FCB25016"/>
    <m/>
    <m/>
    <n v="3"/>
    <s v="Plant.Confirmed"/>
    <d v="2025-11-17T00:00:00"/>
    <m/>
    <d v="2025-08-22T00:00:00"/>
    <d v="2025-11-04T00:00:00"/>
    <s v="204-70-00480"/>
    <s v="Arm"/>
    <s v="ARM"/>
    <s v="FRACTURE"/>
    <s v="KDB (Plant) (51)"/>
    <s v="KDB - Quality Assurance"/>
    <s v="In Process"/>
    <d v="2025-11-17T00:00:00"/>
    <x v="5"/>
    <s v="KBI (9447)"/>
    <d v="2025-11-17T00:00:00"/>
    <m/>
    <s v="Paulo Dias"/>
    <s v="213SPA"/>
    <n v="0"/>
    <s v="FY2025"/>
    <n v="2025"/>
  </r>
  <r>
    <s v="KBISP202511542"/>
    <s v="PC130LC-10M0, BOOM, Pino, FRACTURE,   "/>
    <s v="PC130LC-10M0"/>
    <s v="B20343"/>
    <x v="2"/>
    <s v="Arm cylinder pin break - AB25032 / FCB25040"/>
    <m/>
    <m/>
    <n v="3242.8"/>
    <s v="Plant.Confirmed"/>
    <d v="2025-11-13T00:00:00"/>
    <m/>
    <d v="2023-10-02T00:00:00"/>
    <d v="2023-12-25T00:00:00"/>
    <s v="203-70-42122"/>
    <s v="Pino"/>
    <s v="BOOM"/>
    <s v="FRACTURE"/>
    <s v="KDB (Plant) (51)"/>
    <s v="KDB - Quality Assurance"/>
    <s v="In Process"/>
    <d v="2025-11-17T00:00:00"/>
    <x v="5"/>
    <s v="KBI (9447)"/>
    <d v="2025-11-17T00:00:00"/>
    <m/>
    <s v="Gustavo Henrique"/>
    <s v="213ESD"/>
    <n v="4"/>
    <s v="FY2025"/>
    <n v="2025"/>
  </r>
  <r>
    <s v="KBISP202511538"/>
    <s v="PC130LC-10M0, ACCESSORY &amp; PARTS, Chave, DEFECTIVE INSTALLATION,   "/>
    <s v="PC130LC-10M0"/>
    <s v="B20797"/>
    <x v="17"/>
    <s v="Wrong key delivered"/>
    <m/>
    <m/>
    <n v="3"/>
    <s v="Sub.Submitted"/>
    <d v="2025-11-05T00:00:00"/>
    <m/>
    <d v="2025-10-24T00:00:00"/>
    <d v="2025-11-04T00:00:00"/>
    <s v="TR261434-0001"/>
    <s v="Chave"/>
    <s v="ACCESSORY &amp; PARTS"/>
    <s v="DEFECTIVE INSTALLATION"/>
    <s v="KDB (Plant) (51)"/>
    <s v="Pending Requests"/>
    <s v="Pending Request"/>
    <d v="2025-11-17T00:00:00"/>
    <x v="5"/>
    <s v="KBI (9447)"/>
    <d v="2025-11-17T00:00:00"/>
    <m/>
    <s v="Vinícius Barbosa"/>
    <s v="213SPA"/>
    <n v="12"/>
    <s v="FY2025"/>
    <n v="2025"/>
  </r>
  <r>
    <m/>
    <m/>
    <m/>
    <m/>
    <x v="0"/>
    <m/>
    <m/>
    <m/>
    <m/>
    <m/>
    <m/>
    <m/>
    <m/>
    <m/>
    <m/>
    <m/>
    <m/>
    <m/>
    <m/>
    <m/>
    <m/>
    <m/>
    <x v="1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41B9B-40BE-4845-BEB1-3D72CCDC639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30" firstHeaderRow="1" firstDataRow="1" firstDataCol="1" rowPageCount="1" colPageCount="1"/>
  <pivotFields count="31">
    <pivotField showAll="0"/>
    <pivotField showAll="0"/>
    <pivotField showAll="0"/>
    <pivotField showAll="0"/>
    <pivotField axis="axisRow" dataField="1" showAll="0" sortType="descending">
      <items count="38">
        <item x="1"/>
        <item x="15"/>
        <item x="23"/>
        <item x="20"/>
        <item x="11"/>
        <item x="18"/>
        <item x="29"/>
        <item x="33"/>
        <item x="4"/>
        <item x="24"/>
        <item x="12"/>
        <item x="36"/>
        <item x="22"/>
        <item x="3"/>
        <item x="5"/>
        <item x="16"/>
        <item x="14"/>
        <item x="7"/>
        <item x="17"/>
        <item x="10"/>
        <item x="13"/>
        <item x="34"/>
        <item x="35"/>
        <item x="19"/>
        <item x="30"/>
        <item x="8"/>
        <item x="27"/>
        <item x="9"/>
        <item x="26"/>
        <item x="2"/>
        <item x="31"/>
        <item x="25"/>
        <item x="6"/>
        <item x="28"/>
        <item x="32"/>
        <item x="2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x="5"/>
        <item h="1" x="4"/>
        <item h="1" x="9"/>
        <item h="1" x="2"/>
        <item h="1" x="0"/>
        <item h="1" x="3"/>
        <item h="1" x="10"/>
        <item h="1" x="7"/>
        <item h="1" x="6"/>
        <item h="1" x="8"/>
        <item h="1" x="1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 v="16"/>
    </i>
    <i>
      <x v="17"/>
    </i>
    <i>
      <x v="20"/>
    </i>
    <i>
      <x v="29"/>
    </i>
    <i>
      <x v="10"/>
    </i>
    <i>
      <x v="8"/>
    </i>
    <i>
      <x v="18"/>
    </i>
    <i>
      <x v="35"/>
    </i>
    <i>
      <x v="25"/>
    </i>
    <i>
      <x v="15"/>
    </i>
    <i>
      <x v="4"/>
    </i>
    <i>
      <x v="14"/>
    </i>
    <i>
      <x v="34"/>
    </i>
    <i>
      <x v="28"/>
    </i>
    <i>
      <x/>
    </i>
    <i>
      <x v="5"/>
    </i>
    <i>
      <x v="1"/>
    </i>
    <i>
      <x v="27"/>
    </i>
    <i>
      <x v="26"/>
    </i>
    <i>
      <x v="2"/>
    </i>
    <i>
      <x v="12"/>
    </i>
    <i>
      <x v="24"/>
    </i>
    <i>
      <x v="19"/>
    </i>
    <i>
      <x v="21"/>
    </i>
    <i>
      <x v="23"/>
    </i>
    <i>
      <x v="36"/>
    </i>
    <i t="grand">
      <x/>
    </i>
  </rowItems>
  <colItems count="1">
    <i/>
  </colItems>
  <pageFields count="1">
    <pageField fld="22" hier="-1"/>
  </pageFields>
  <dataFields count="1">
    <dataField name="Contagem de Code" fld="4" subtotal="count" baseField="0" baseItem="0"/>
  </dataFields>
  <formats count="9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26">
            <x v="0"/>
            <x v="1"/>
            <x v="2"/>
            <x v="4"/>
            <x v="5"/>
            <x v="8"/>
            <x v="10"/>
            <x v="12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6"/>
            <x v="27"/>
            <x v="28"/>
            <x v="29"/>
            <x v="34"/>
            <x v="35"/>
            <x v="36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22" count="0"/>
        </references>
      </pivotArea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5BDBA-EC00-4554-812E-267A97032278}" name="Tabela2" displayName="Tabela2" ref="A1:AF377" totalsRowShown="0">
  <autoFilter ref="A1:AF377" xr:uid="{7A25BDBA-EC00-4554-812E-267A97032278}"/>
  <tableColumns count="32">
    <tableColumn id="2" xr3:uid="{3495B730-FA80-432E-AAF0-6F680B30779A}" name="Report ID"/>
    <tableColumn id="3" xr3:uid="{ED149646-7284-4DB1-9201-19AFA64B0420}" name="Title"/>
    <tableColumn id="4" xr3:uid="{17231808-86D2-498B-A013-C2EDC25B016C}" name="Full Model"/>
    <tableColumn id="5" xr3:uid="{09525DAD-D744-471F-B033-D34A3A0568ED}" name="Serial Number"/>
    <tableColumn id="24" xr3:uid="{2697D44F-AA29-4A2D-BC26-15B24930BA45}" name="CodeComponent"/>
    <tableColumn id="1" xr3:uid="{31801979-E639-4D1A-83EF-0ABB4A254C88}" name="Failure"/>
    <tableColumn id="6" xr3:uid="{7D18A7D7-CC81-4F82-9CFF-5BA81590D1BD}" name="Additional Failure Description"/>
    <tableColumn id="7" xr3:uid="{5989B3A5-2422-4B2A-A8F0-C18282EA248C}" name="Parent Case"/>
    <tableColumn id="8" xr3:uid="{F94CB81A-FE02-4BE7-96D7-788A8E1E3387}" name="Failure SMR"/>
    <tableColumn id="9" xr3:uid="{B6E9C145-D186-4270-B529-90AE39DC14DE}" name="Active Stage"/>
    <tableColumn id="10" xr3:uid="{7A8590F4-9075-4BCA-94C2-86A43CDBAB7A}" name="Failure2" dataDxfId="11"/>
    <tableColumn id="30" xr3:uid="{1C47879C-D6A8-449F-8615-C89F32E898CF}" name="Machine" dataDxfId="10"/>
    <tableColumn id="11" xr3:uid="{AE00DEE5-9E71-4AB8-A2A3-3E460EF49E57}" name="Machine2" dataDxfId="9"/>
    <tableColumn id="12" xr3:uid="{7467A28C-DDE1-4219-96C2-076D0804298C}" name="Delivery" dataDxfId="8"/>
    <tableColumn id="13" xr3:uid="{5AEC8776-6A78-4A2B-B254-C06A5F42B6CB}" name="Failed Part Number"/>
    <tableColumn id="14" xr3:uid="{C0FA4F22-10FD-4EE3-8E44-4E05CB89B659}" name="Failed Part Name"/>
    <tableColumn id="15" xr3:uid="{7D6563CD-2EFC-4C21-BDF5-2558942EEC81}" name="Component Name"/>
    <tableColumn id="16" xr3:uid="{FDCA467D-10CB-44CB-B57D-1C6DE917F9A6}" name="Phenomenon Name"/>
    <tableColumn id="17" xr3:uid="{096C094C-BFB5-4C46-AAF4-CDDE9FD6B1AF}" name="Plant"/>
    <tableColumn id="18" xr3:uid="{797448E0-D8A8-4766-A72F-9AE3E0D9EDC2}" name="Current Queue"/>
    <tableColumn id="19" xr3:uid="{FE1AF4C4-C66C-4637-9192-A525363F81F9}" name="Status Reason"/>
    <tableColumn id="20" xr3:uid="{4319F4A1-4A63-4123-821C-45B9065DD4E0}" name="Created" dataDxfId="7"/>
    <tableColumn id="21" xr3:uid="{758E91C7-3114-499E-8DEA-21853A60EFD4}" name="Distributor"/>
    <tableColumn id="22" xr3:uid="{6FC26923-E4DE-4D14-9239-F9A5EBA7C280}" name="Subsidiary"/>
    <tableColumn id="23" xr3:uid="{A94D38E7-82C3-418B-A5A7-22C77A4F6FB0}" name="Issue2" dataDxfId="6"/>
    <tableColumn id="25" xr3:uid="{F8B4A36C-B379-4BA9-A4CE-0C13CB494B51}" name="Additional Notes(Request)"/>
    <tableColumn id="26" xr3:uid="{D58307D6-C0BD-4EA3-9B40-92D416D4B4CD}" name="Distributor Contact"/>
    <tableColumn id="29" xr3:uid="{6F750104-ED7C-42D9-A25D-197548AAB697}" name="Filial DB code" dataDxfId="5"/>
    <tableColumn id="27" xr3:uid="{01D5700B-4F3F-4854-990A-F263EA2C9B72}" name="Filial DB NAME" dataDxfId="0">
      <calculatedColumnFormula>INDEX('DB Description'!$A$1:$B$23,MATCH(Tabela2[[#This Row],[Filial DB code]],'DB Description'!A:A,),2)</calculatedColumnFormula>
    </tableColumn>
    <tableColumn id="28" xr3:uid="{EBB9A18C-D7EF-40B7-BB01-E085AC112082}" name="LT DB" dataDxfId="4">
      <calculatedColumnFormula>Tabela2[[#This Row],[Issue2]]-Tabela2[[#This Row],[Failure2]]</calculatedColumnFormula>
    </tableColumn>
    <tableColumn id="32" xr3:uid="{BC0B0CEE-A635-489D-9255-1979C76CBF47}" name="FY" dataDxfId="3">
      <calculatedColumnFormula>"FY"&amp;IF(MONTH(Y2)&gt;=4,YEAR(Y2),YEAR(Y2)-1)</calculatedColumnFormula>
    </tableColumn>
    <tableColumn id="33" xr3:uid="{19A151B5-D953-4B5E-9755-5EB58ADC01DC}" name="YEAR" dataDxfId="2">
      <calculatedColumnFormula>YEAR(Tabela2[[#This Row],[Issue2]])</calculatedColumnFormula>
    </tableColumn>
  </tableColumns>
  <tableStyleInfo name="Estilo de Tabela 1" showFirstColumn="1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4303-7373-4B9C-B472-46084F0E866C}">
  <dimension ref="A1:B30"/>
  <sheetViews>
    <sheetView showGridLines="0" workbookViewId="0">
      <selection activeCell="A3" sqref="A3"/>
    </sheetView>
  </sheetViews>
  <sheetFormatPr defaultRowHeight="14.5" x14ac:dyDescent="0.35"/>
  <cols>
    <col min="1" max="1" width="22.7265625" bestFit="1" customWidth="1"/>
    <col min="2" max="2" width="16.90625" style="19" bestFit="1" customWidth="1"/>
  </cols>
  <sheetData>
    <row r="1" spans="1:2" x14ac:dyDescent="0.35">
      <c r="A1" s="13" t="s">
        <v>20</v>
      </c>
      <c r="B1" s="19" t="s">
        <v>53</v>
      </c>
    </row>
    <row r="3" spans="1:2" x14ac:dyDescent="0.35">
      <c r="A3" s="17" t="s">
        <v>1966</v>
      </c>
      <c r="B3" s="20" t="s">
        <v>1969</v>
      </c>
    </row>
    <row r="4" spans="1:2" x14ac:dyDescent="0.35">
      <c r="A4" s="18" t="s">
        <v>1846</v>
      </c>
      <c r="B4" s="20">
        <v>69</v>
      </c>
    </row>
    <row r="5" spans="1:2" x14ac:dyDescent="0.35">
      <c r="A5" s="18" t="s">
        <v>1901</v>
      </c>
      <c r="B5" s="20">
        <v>20</v>
      </c>
    </row>
    <row r="6" spans="1:2" x14ac:dyDescent="0.35">
      <c r="A6" s="18" t="s">
        <v>1847</v>
      </c>
      <c r="B6" s="20">
        <v>18</v>
      </c>
    </row>
    <row r="7" spans="1:2" x14ac:dyDescent="0.35">
      <c r="A7" s="18" t="s">
        <v>1845</v>
      </c>
      <c r="B7" s="20">
        <v>14</v>
      </c>
    </row>
    <row r="8" spans="1:2" x14ac:dyDescent="0.35">
      <c r="A8" s="18" t="s">
        <v>1856</v>
      </c>
      <c r="B8" s="20">
        <v>9</v>
      </c>
    </row>
    <row r="9" spans="1:2" x14ac:dyDescent="0.35">
      <c r="A9" s="18" t="s">
        <v>1873</v>
      </c>
      <c r="B9" s="20">
        <v>7</v>
      </c>
    </row>
    <row r="10" spans="1:2" x14ac:dyDescent="0.35">
      <c r="A10" s="18" t="s">
        <v>1853</v>
      </c>
      <c r="B10" s="20">
        <v>7</v>
      </c>
    </row>
    <row r="11" spans="1:2" x14ac:dyDescent="0.35">
      <c r="A11" s="18" t="s">
        <v>1877</v>
      </c>
      <c r="B11" s="20">
        <v>6</v>
      </c>
    </row>
    <row r="12" spans="1:2" x14ac:dyDescent="0.35">
      <c r="A12" s="18" t="s">
        <v>1866</v>
      </c>
      <c r="B12" s="20">
        <v>6</v>
      </c>
    </row>
    <row r="13" spans="1:2" x14ac:dyDescent="0.35">
      <c r="A13" s="18" t="s">
        <v>1894</v>
      </c>
      <c r="B13" s="20">
        <v>6</v>
      </c>
    </row>
    <row r="14" spans="1:2" x14ac:dyDescent="0.35">
      <c r="A14" s="18" t="s">
        <v>1872</v>
      </c>
      <c r="B14" s="20">
        <v>5</v>
      </c>
    </row>
    <row r="15" spans="1:2" x14ac:dyDescent="0.35">
      <c r="A15" s="18" t="s">
        <v>1895</v>
      </c>
      <c r="B15" s="20">
        <v>4</v>
      </c>
    </row>
    <row r="16" spans="1:2" x14ac:dyDescent="0.35">
      <c r="A16" s="18" t="s">
        <v>1860</v>
      </c>
      <c r="B16" s="20">
        <v>3</v>
      </c>
    </row>
    <row r="17" spans="1:2" x14ac:dyDescent="0.35">
      <c r="A17" s="18" t="s">
        <v>1912</v>
      </c>
      <c r="B17" s="20">
        <v>3</v>
      </c>
    </row>
    <row r="18" spans="1:2" x14ac:dyDescent="0.35">
      <c r="A18" s="18" t="s">
        <v>1878</v>
      </c>
      <c r="B18" s="20">
        <v>3</v>
      </c>
    </row>
    <row r="19" spans="1:2" x14ac:dyDescent="0.35">
      <c r="A19" s="18" t="s">
        <v>1920</v>
      </c>
      <c r="B19" s="20">
        <v>3</v>
      </c>
    </row>
    <row r="20" spans="1:2" x14ac:dyDescent="0.35">
      <c r="A20" s="18" t="s">
        <v>1858</v>
      </c>
      <c r="B20" s="20">
        <v>3</v>
      </c>
    </row>
    <row r="21" spans="1:2" x14ac:dyDescent="0.35">
      <c r="A21" s="18" t="s">
        <v>1862</v>
      </c>
      <c r="B21" s="20">
        <v>2</v>
      </c>
    </row>
    <row r="22" spans="1:2" x14ac:dyDescent="0.35">
      <c r="A22" s="18" t="s">
        <v>1928</v>
      </c>
      <c r="B22" s="20">
        <v>2</v>
      </c>
    </row>
    <row r="23" spans="1:2" x14ac:dyDescent="0.35">
      <c r="A23" s="18" t="s">
        <v>1949</v>
      </c>
      <c r="B23" s="20">
        <v>1</v>
      </c>
    </row>
    <row r="24" spans="1:2" x14ac:dyDescent="0.35">
      <c r="A24" s="18" t="s">
        <v>1960</v>
      </c>
      <c r="B24" s="20">
        <v>1</v>
      </c>
    </row>
    <row r="25" spans="1:2" x14ac:dyDescent="0.35">
      <c r="A25" s="18" t="s">
        <v>1934</v>
      </c>
      <c r="B25" s="20">
        <v>1</v>
      </c>
    </row>
    <row r="26" spans="1:2" x14ac:dyDescent="0.35">
      <c r="A26" s="18" t="s">
        <v>1933</v>
      </c>
      <c r="B26" s="20">
        <v>1</v>
      </c>
    </row>
    <row r="27" spans="1:2" x14ac:dyDescent="0.35">
      <c r="A27" s="18" t="s">
        <v>1885</v>
      </c>
      <c r="B27" s="20">
        <v>1</v>
      </c>
    </row>
    <row r="28" spans="1:2" x14ac:dyDescent="0.35">
      <c r="A28" s="18" t="s">
        <v>1916</v>
      </c>
      <c r="B28" s="20">
        <v>1</v>
      </c>
    </row>
    <row r="29" spans="1:2" x14ac:dyDescent="0.35">
      <c r="A29" s="18" t="s">
        <v>1967</v>
      </c>
      <c r="B29" s="20"/>
    </row>
    <row r="30" spans="1:2" x14ac:dyDescent="0.35">
      <c r="A30" s="18" t="s">
        <v>1968</v>
      </c>
      <c r="B30" s="20">
        <v>196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C99E-FFDB-4FE9-9FF4-A409806E44CD}">
  <dimension ref="A1:B23"/>
  <sheetViews>
    <sheetView showGridLines="0" workbookViewId="0">
      <selection activeCell="A3" sqref="A3"/>
    </sheetView>
  </sheetViews>
  <sheetFormatPr defaultRowHeight="14.5" x14ac:dyDescent="0.35"/>
  <cols>
    <col min="1" max="1" width="7.90625" bestFit="1" customWidth="1"/>
    <col min="2" max="2" width="23.7265625" bestFit="1" customWidth="1"/>
  </cols>
  <sheetData>
    <row r="1" spans="1:2" x14ac:dyDescent="0.35">
      <c r="A1" s="14" t="s">
        <v>1970</v>
      </c>
      <c r="B1" s="15" t="s">
        <v>1971</v>
      </c>
    </row>
    <row r="2" spans="1:2" x14ac:dyDescent="0.35">
      <c r="A2" s="16" t="s">
        <v>1514</v>
      </c>
      <c r="B2" s="12" t="s">
        <v>1972</v>
      </c>
    </row>
    <row r="3" spans="1:2" x14ac:dyDescent="0.35">
      <c r="A3" s="16" t="s">
        <v>1517</v>
      </c>
      <c r="B3" s="12" t="s">
        <v>1972</v>
      </c>
    </row>
    <row r="4" spans="1:2" x14ac:dyDescent="0.35">
      <c r="A4" s="16" t="s">
        <v>243</v>
      </c>
      <c r="B4" s="12" t="s">
        <v>1973</v>
      </c>
    </row>
    <row r="5" spans="1:2" x14ac:dyDescent="0.35">
      <c r="A5" s="16" t="s">
        <v>1512</v>
      </c>
      <c r="B5" s="12" t="s">
        <v>1973</v>
      </c>
    </row>
    <row r="6" spans="1:2" x14ac:dyDescent="0.35">
      <c r="A6" s="16" t="s">
        <v>1524</v>
      </c>
      <c r="B6" s="12" t="s">
        <v>1973</v>
      </c>
    </row>
    <row r="7" spans="1:2" x14ac:dyDescent="0.35">
      <c r="A7" s="16" t="s">
        <v>1520</v>
      </c>
      <c r="B7" s="12" t="s">
        <v>1973</v>
      </c>
    </row>
    <row r="8" spans="1:2" x14ac:dyDescent="0.35">
      <c r="A8" s="16" t="s">
        <v>1513</v>
      </c>
      <c r="B8" s="12" t="s">
        <v>1974</v>
      </c>
    </row>
    <row r="9" spans="1:2" x14ac:dyDescent="0.35">
      <c r="A9" s="16" t="s">
        <v>1516</v>
      </c>
      <c r="B9" s="12" t="s">
        <v>1975</v>
      </c>
    </row>
    <row r="10" spans="1:2" x14ac:dyDescent="0.35">
      <c r="A10" s="16" t="s">
        <v>1523</v>
      </c>
      <c r="B10" s="12" t="s">
        <v>1976</v>
      </c>
    </row>
    <row r="11" spans="1:2" x14ac:dyDescent="0.35">
      <c r="A11" s="16" t="s">
        <v>1977</v>
      </c>
      <c r="B11" s="12" t="s">
        <v>1976</v>
      </c>
    </row>
    <row r="12" spans="1:2" x14ac:dyDescent="0.35">
      <c r="A12" s="16" t="s">
        <v>302</v>
      </c>
      <c r="B12" s="12" t="s">
        <v>1978</v>
      </c>
    </row>
    <row r="13" spans="1:2" x14ac:dyDescent="0.35">
      <c r="A13" s="16" t="s">
        <v>1515</v>
      </c>
      <c r="B13" s="12" t="s">
        <v>1979</v>
      </c>
    </row>
    <row r="14" spans="1:2" x14ac:dyDescent="0.35">
      <c r="A14" s="16" t="s">
        <v>1518</v>
      </c>
      <c r="B14" s="12" t="s">
        <v>1980</v>
      </c>
    </row>
    <row r="15" spans="1:2" x14ac:dyDescent="0.35">
      <c r="A15" s="16" t="s">
        <v>1981</v>
      </c>
      <c r="B15" s="12" t="s">
        <v>1982</v>
      </c>
    </row>
    <row r="16" spans="1:2" x14ac:dyDescent="0.35">
      <c r="A16" s="16" t="s">
        <v>1520</v>
      </c>
      <c r="B16" s="12" t="s">
        <v>1983</v>
      </c>
    </row>
    <row r="17" spans="1:2" x14ac:dyDescent="0.35">
      <c r="A17" s="16" t="s">
        <v>1522</v>
      </c>
      <c r="B17" s="12" t="s">
        <v>1972</v>
      </c>
    </row>
    <row r="18" spans="1:2" x14ac:dyDescent="0.35">
      <c r="A18" s="16" t="s">
        <v>1520</v>
      </c>
      <c r="B18" s="12" t="s">
        <v>1973</v>
      </c>
    </row>
    <row r="19" spans="1:2" x14ac:dyDescent="0.35">
      <c r="A19" s="16" t="s">
        <v>1984</v>
      </c>
      <c r="B19" s="12" t="s">
        <v>1983</v>
      </c>
    </row>
    <row r="20" spans="1:2" x14ac:dyDescent="0.35">
      <c r="A20" s="16">
        <v>9447</v>
      </c>
      <c r="B20" s="12" t="s">
        <v>1985</v>
      </c>
    </row>
    <row r="21" spans="1:2" x14ac:dyDescent="0.35">
      <c r="A21" s="16" t="s">
        <v>1519</v>
      </c>
      <c r="B21" s="12" t="s">
        <v>51</v>
      </c>
    </row>
    <row r="22" spans="1:2" x14ac:dyDescent="0.35">
      <c r="A22" s="16" t="s">
        <v>1521</v>
      </c>
      <c r="B22" s="12" t="s">
        <v>51</v>
      </c>
    </row>
    <row r="23" spans="1:2" x14ac:dyDescent="0.35">
      <c r="A23" s="16" t="s">
        <v>1631</v>
      </c>
      <c r="B23" s="1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1CD1-D33D-4B86-9012-7849B2E7604E}">
  <sheetPr codeName="Planilha1"/>
  <dimension ref="A1:AF377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B6"/>
    </sheetView>
  </sheetViews>
  <sheetFormatPr defaultColWidth="15.81640625" defaultRowHeight="14.5" x14ac:dyDescent="0.35"/>
  <cols>
    <col min="1" max="1" width="15.6328125" bestFit="1" customWidth="1"/>
    <col min="2" max="2" width="137.54296875" bestFit="1" customWidth="1"/>
    <col min="3" max="3" width="13.26953125" bestFit="1" customWidth="1"/>
    <col min="4" max="4" width="15.54296875" bestFit="1" customWidth="1"/>
    <col min="5" max="5" width="23.26953125" bestFit="1" customWidth="1"/>
    <col min="6" max="6" width="46.7265625" bestFit="1" customWidth="1"/>
    <col min="7" max="7" width="52.453125" bestFit="1" customWidth="1"/>
    <col min="8" max="8" width="93.90625" bestFit="1" customWidth="1"/>
    <col min="9" max="9" width="13.1796875" bestFit="1" customWidth="1"/>
    <col min="10" max="10" width="20.54296875" bestFit="1" customWidth="1"/>
    <col min="11" max="11" width="11.81640625" bestFit="1" customWidth="1"/>
    <col min="12" max="12" width="12.36328125" bestFit="1" customWidth="1"/>
    <col min="13" max="13" width="11.453125" style="1" bestFit="1" customWidth="1"/>
    <col min="14" max="14" width="11.81640625" style="1" bestFit="1" customWidth="1"/>
    <col min="15" max="15" width="24.6328125" style="1" bestFit="1" customWidth="1"/>
    <col min="16" max="16" width="60.26953125" bestFit="1" customWidth="1"/>
    <col min="17" max="17" width="33.54296875" bestFit="1" customWidth="1"/>
    <col min="18" max="18" width="31.1796875" bestFit="1" customWidth="1"/>
    <col min="19" max="19" width="23.1796875" bestFit="1" customWidth="1"/>
    <col min="20" max="20" width="26.81640625" bestFit="1" customWidth="1"/>
    <col min="21" max="21" width="15.36328125" bestFit="1" customWidth="1"/>
    <col min="22" max="22" width="10.7265625" bestFit="1" customWidth="1"/>
    <col min="23" max="23" width="38.26953125" style="1" bestFit="1" customWidth="1"/>
    <col min="24" max="24" width="12" bestFit="1" customWidth="1"/>
    <col min="25" max="25" width="11.81640625" bestFit="1" customWidth="1"/>
    <col min="26" max="26" width="255.6328125" style="1" bestFit="1" customWidth="1"/>
    <col min="27" max="27" width="23.81640625" bestFit="1" customWidth="1"/>
    <col min="28" max="28" width="14.54296875" bestFit="1" customWidth="1"/>
    <col min="29" max="29" width="24" bestFit="1" customWidth="1"/>
    <col min="30" max="30" width="7.7265625" bestFit="1" customWidth="1"/>
    <col min="31" max="31" width="6.7265625" bestFit="1" customWidth="1"/>
    <col min="32" max="32" width="7.453125" bestFit="1" customWidth="1"/>
  </cols>
  <sheetData>
    <row r="1" spans="1:32" ht="14.15" customHeight="1" x14ac:dyDescent="0.35">
      <c r="A1" t="s">
        <v>0</v>
      </c>
      <c r="B1" t="s">
        <v>1</v>
      </c>
      <c r="C1" s="4" t="s">
        <v>2</v>
      </c>
      <c r="D1" t="s">
        <v>3</v>
      </c>
      <c r="E1" s="21" t="s">
        <v>1987</v>
      </c>
      <c r="F1" s="11" t="s">
        <v>8</v>
      </c>
      <c r="G1" t="s">
        <v>4</v>
      </c>
      <c r="H1" t="s">
        <v>5</v>
      </c>
      <c r="I1" t="s">
        <v>6</v>
      </c>
      <c r="J1" t="s">
        <v>7</v>
      </c>
      <c r="K1" s="10" t="s">
        <v>1844</v>
      </c>
      <c r="L1" s="6" t="s">
        <v>9</v>
      </c>
      <c r="M1" s="6" t="s">
        <v>10</v>
      </c>
      <c r="N1" s="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s="1" t="s">
        <v>19</v>
      </c>
      <c r="W1" s="5" t="s">
        <v>20</v>
      </c>
      <c r="X1" t="s">
        <v>21</v>
      </c>
      <c r="Y1" s="7" t="s">
        <v>1772</v>
      </c>
      <c r="Z1" t="s">
        <v>22</v>
      </c>
      <c r="AA1" t="s">
        <v>23</v>
      </c>
      <c r="AB1" s="2" t="s">
        <v>24</v>
      </c>
      <c r="AC1" s="2" t="s">
        <v>1986</v>
      </c>
      <c r="AD1" s="2" t="s">
        <v>25</v>
      </c>
      <c r="AE1" s="4" t="s">
        <v>26</v>
      </c>
      <c r="AF1" t="s">
        <v>27</v>
      </c>
    </row>
    <row r="2" spans="1:32" x14ac:dyDescent="0.35">
      <c r="A2" t="s">
        <v>346</v>
      </c>
      <c r="B2" t="s">
        <v>347</v>
      </c>
      <c r="C2" t="s">
        <v>348</v>
      </c>
      <c r="D2" t="s">
        <v>147</v>
      </c>
      <c r="E2" t="s">
        <v>1856</v>
      </c>
      <c r="F2" t="s">
        <v>313</v>
      </c>
      <c r="G2" t="s">
        <v>349</v>
      </c>
      <c r="I2">
        <v>4</v>
      </c>
      <c r="J2" t="s">
        <v>28</v>
      </c>
      <c r="K2" s="1">
        <v>44655</v>
      </c>
      <c r="L2" s="6"/>
      <c r="M2" s="1">
        <v>44641</v>
      </c>
      <c r="O2" t="s">
        <v>315</v>
      </c>
      <c r="P2" t="s">
        <v>275</v>
      </c>
      <c r="Q2" t="s">
        <v>122</v>
      </c>
      <c r="R2" t="s">
        <v>223</v>
      </c>
      <c r="S2" t="s">
        <v>45</v>
      </c>
      <c r="T2" t="s">
        <v>334</v>
      </c>
      <c r="U2" t="s">
        <v>30</v>
      </c>
      <c r="V2" s="1">
        <v>44683</v>
      </c>
      <c r="W2" t="s">
        <v>51</v>
      </c>
      <c r="X2" t="s">
        <v>32</v>
      </c>
      <c r="Y2" s="1">
        <v>44683</v>
      </c>
      <c r="Z2" t="s">
        <v>342</v>
      </c>
      <c r="AA2" t="s">
        <v>337</v>
      </c>
      <c r="AB2" t="s">
        <v>1519</v>
      </c>
      <c r="AC2" t="str">
        <f>INDEX('DB Description'!$A$1:$B$23,MATCH(Tabela2[[#This Row],[Filial DB code]],'DB Description'!A:A,),2)</f>
        <v>MANTOMAC-CHA (213SCA)</v>
      </c>
      <c r="AD2" s="9">
        <f>Tabela2[[#This Row],[Issue2]]-Tabela2[[#This Row],[Failure2]]</f>
        <v>28</v>
      </c>
      <c r="AE2" t="str">
        <f t="shared" ref="AE2:AE3" si="0">"FY"&amp;IF(MONTH(Y2)&gt;=4,YEAR(Y2),YEAR(Y2)-1)</f>
        <v>FY2022</v>
      </c>
      <c r="AF2">
        <f>YEAR(Tabela2[[#This Row],[Issue2]])</f>
        <v>2022</v>
      </c>
    </row>
    <row r="3" spans="1:32" x14ac:dyDescent="0.35">
      <c r="A3" s="8" t="s">
        <v>350</v>
      </c>
      <c r="B3" s="8" t="s">
        <v>351</v>
      </c>
      <c r="C3" s="8" t="s">
        <v>348</v>
      </c>
      <c r="D3" s="8" t="s">
        <v>352</v>
      </c>
      <c r="E3" t="s">
        <v>1878</v>
      </c>
      <c r="F3" t="s">
        <v>681</v>
      </c>
      <c r="G3" s="8" t="s">
        <v>353</v>
      </c>
      <c r="H3" s="8"/>
      <c r="I3" s="3">
        <v>29.7</v>
      </c>
      <c r="J3" s="8" t="s">
        <v>332</v>
      </c>
      <c r="K3" s="1">
        <v>44659</v>
      </c>
      <c r="L3" s="1"/>
      <c r="M3" s="1">
        <v>44620</v>
      </c>
      <c r="N3" s="1">
        <v>44659</v>
      </c>
      <c r="O3" s="8" t="s">
        <v>354</v>
      </c>
      <c r="P3" s="8" t="s">
        <v>355</v>
      </c>
      <c r="Q3" s="8" t="s">
        <v>42</v>
      </c>
      <c r="R3" s="8" t="s">
        <v>229</v>
      </c>
      <c r="S3" s="8" t="s">
        <v>45</v>
      </c>
      <c r="T3" s="8" t="s">
        <v>329</v>
      </c>
      <c r="U3" s="8" t="s">
        <v>30</v>
      </c>
      <c r="V3" s="1">
        <v>44684</v>
      </c>
      <c r="W3" s="8" t="s">
        <v>46</v>
      </c>
      <c r="X3" s="8" t="s">
        <v>32</v>
      </c>
      <c r="Y3" s="1">
        <v>44684</v>
      </c>
      <c r="Z3" s="8" t="s">
        <v>356</v>
      </c>
      <c r="AA3" s="8" t="s">
        <v>330</v>
      </c>
      <c r="AB3" t="s">
        <v>1518</v>
      </c>
      <c r="AC3" t="str">
        <f>INDEX('DB Description'!$A$1:$B$23,MATCH(Tabela2[[#This Row],[Filial DB code]],'DB Description'!A:A,),2)</f>
        <v xml:space="preserve">Vianmaq </v>
      </c>
      <c r="AD3" s="9">
        <f>Tabela2[[#This Row],[Issue2]]-Tabela2[[#This Row],[Failure2]]</f>
        <v>25</v>
      </c>
      <c r="AE3" t="str">
        <f t="shared" si="0"/>
        <v>FY2022</v>
      </c>
      <c r="AF3">
        <f>YEAR(Tabela2[[#This Row],[Issue2]])</f>
        <v>2022</v>
      </c>
    </row>
    <row r="4" spans="1:32" x14ac:dyDescent="0.35">
      <c r="A4" t="s">
        <v>364</v>
      </c>
      <c r="B4" t="s">
        <v>365</v>
      </c>
      <c r="C4" t="s">
        <v>348</v>
      </c>
      <c r="D4" t="s">
        <v>118</v>
      </c>
      <c r="E4" t="s">
        <v>1895</v>
      </c>
      <c r="F4" t="s">
        <v>1875</v>
      </c>
      <c r="G4" t="s">
        <v>366</v>
      </c>
      <c r="I4">
        <v>8</v>
      </c>
      <c r="J4" t="s">
        <v>332</v>
      </c>
      <c r="K4" s="1">
        <v>44679</v>
      </c>
      <c r="L4" s="1"/>
      <c r="M4" s="1">
        <v>44643</v>
      </c>
      <c r="O4" s="1" t="s">
        <v>367</v>
      </c>
      <c r="P4" t="s">
        <v>368</v>
      </c>
      <c r="Q4" t="s">
        <v>104</v>
      </c>
      <c r="R4" t="s">
        <v>223</v>
      </c>
      <c r="S4" t="s">
        <v>45</v>
      </c>
      <c r="T4" t="s">
        <v>329</v>
      </c>
      <c r="U4" t="s">
        <v>30</v>
      </c>
      <c r="V4" s="1">
        <v>44683</v>
      </c>
      <c r="W4" s="1" t="s">
        <v>31</v>
      </c>
      <c r="X4" t="s">
        <v>32</v>
      </c>
      <c r="Y4" s="1">
        <v>44719</v>
      </c>
      <c r="Z4" s="1" t="s">
        <v>369</v>
      </c>
      <c r="AA4" t="s">
        <v>359</v>
      </c>
      <c r="AB4" t="s">
        <v>1523</v>
      </c>
      <c r="AC4" t="str">
        <f>INDEX('DB Description'!$A$1:$B$23,MATCH(Tabela2[[#This Row],[Filial DB code]],'DB Description'!A:A,),2)</f>
        <v>FW</v>
      </c>
      <c r="AD4" s="9">
        <f>Tabela2[[#This Row],[Issue2]]-Tabela2[[#This Row],[Failure2]]</f>
        <v>40</v>
      </c>
      <c r="AE4" t="str">
        <f t="shared" ref="AE4:AE6" si="1">"FY"&amp;IF(MONTH(Y4)&gt;=4,YEAR(Y4),YEAR(Y4)-1)</f>
        <v>FY2022</v>
      </c>
      <c r="AF4">
        <f>YEAR(Tabela2[[#This Row],[Issue2]])</f>
        <v>2022</v>
      </c>
    </row>
    <row r="5" spans="1:32" x14ac:dyDescent="0.35">
      <c r="A5" t="s">
        <v>372</v>
      </c>
      <c r="B5" t="s">
        <v>373</v>
      </c>
      <c r="C5" t="s">
        <v>348</v>
      </c>
      <c r="D5" t="s">
        <v>374</v>
      </c>
      <c r="E5" t="s">
        <v>1878</v>
      </c>
      <c r="F5" t="s">
        <v>681</v>
      </c>
      <c r="G5" t="s">
        <v>375</v>
      </c>
      <c r="I5">
        <v>5</v>
      </c>
      <c r="J5" t="s">
        <v>37</v>
      </c>
      <c r="K5" s="1">
        <v>44705</v>
      </c>
      <c r="L5" s="1">
        <v>44706</v>
      </c>
      <c r="M5" s="1">
        <v>44692</v>
      </c>
      <c r="O5" s="1" t="s">
        <v>120</v>
      </c>
      <c r="P5" t="s">
        <v>120</v>
      </c>
      <c r="Q5" t="s">
        <v>58</v>
      </c>
      <c r="R5" t="s">
        <v>229</v>
      </c>
      <c r="S5" t="s">
        <v>45</v>
      </c>
      <c r="U5" t="s">
        <v>38</v>
      </c>
      <c r="V5" s="1">
        <v>44733</v>
      </c>
      <c r="W5" s="1" t="s">
        <v>51</v>
      </c>
      <c r="X5" t="s">
        <v>32</v>
      </c>
      <c r="Y5" s="1">
        <v>44733</v>
      </c>
      <c r="Z5" s="1" t="s">
        <v>376</v>
      </c>
      <c r="AA5" t="s">
        <v>336</v>
      </c>
      <c r="AB5" t="s">
        <v>1521</v>
      </c>
      <c r="AC5" t="str">
        <f>INDEX('DB Description'!$A$1:$B$23,MATCH(Tabela2[[#This Row],[Filial DB code]],'DB Description'!A:A,),2)</f>
        <v>MANTOMAC-CHA (213SCA)</v>
      </c>
      <c r="AD5" s="9">
        <f>Tabela2[[#This Row],[Issue2]]-Tabela2[[#This Row],[Failure2]]</f>
        <v>28</v>
      </c>
      <c r="AE5" t="str">
        <f t="shared" si="1"/>
        <v>FY2022</v>
      </c>
      <c r="AF5">
        <f>YEAR(Tabela2[[#This Row],[Issue2]])</f>
        <v>2022</v>
      </c>
    </row>
    <row r="6" spans="1:32" x14ac:dyDescent="0.35">
      <c r="A6" t="s">
        <v>377</v>
      </c>
      <c r="B6" t="s">
        <v>378</v>
      </c>
      <c r="C6" t="s">
        <v>348</v>
      </c>
      <c r="D6" t="s">
        <v>379</v>
      </c>
      <c r="E6" t="s">
        <v>1878</v>
      </c>
      <c r="F6" t="s">
        <v>681</v>
      </c>
      <c r="G6" t="s">
        <v>380</v>
      </c>
      <c r="I6">
        <v>4</v>
      </c>
      <c r="J6" t="s">
        <v>37</v>
      </c>
      <c r="K6" s="1">
        <v>44706</v>
      </c>
      <c r="L6" s="1">
        <v>44707</v>
      </c>
      <c r="M6" s="1">
        <v>44683</v>
      </c>
      <c r="N6" s="1">
        <v>44713</v>
      </c>
      <c r="O6" s="1" t="s">
        <v>297</v>
      </c>
      <c r="P6" t="s">
        <v>297</v>
      </c>
      <c r="Q6" t="s">
        <v>58</v>
      </c>
      <c r="R6" t="s">
        <v>229</v>
      </c>
      <c r="S6" t="s">
        <v>45</v>
      </c>
      <c r="U6" t="s">
        <v>38</v>
      </c>
      <c r="V6" s="1">
        <v>44734</v>
      </c>
      <c r="W6" s="1" t="s">
        <v>51</v>
      </c>
      <c r="X6" t="s">
        <v>32</v>
      </c>
      <c r="Y6" s="1">
        <v>44734</v>
      </c>
      <c r="Z6" s="1" t="s">
        <v>381</v>
      </c>
      <c r="AA6" t="s">
        <v>336</v>
      </c>
      <c r="AB6" t="s">
        <v>1521</v>
      </c>
      <c r="AC6" t="str">
        <f>INDEX('DB Description'!$A$1:$B$23,MATCH(Tabela2[[#This Row],[Filial DB code]],'DB Description'!A:A,),2)</f>
        <v>MANTOMAC-CHA (213SCA)</v>
      </c>
      <c r="AD6" s="9">
        <f>Tabela2[[#This Row],[Issue2]]-Tabela2[[#This Row],[Failure2]]</f>
        <v>28</v>
      </c>
      <c r="AE6" t="str">
        <f t="shared" si="1"/>
        <v>FY2022</v>
      </c>
      <c r="AF6">
        <f>YEAR(Tabela2[[#This Row],[Issue2]])</f>
        <v>2022</v>
      </c>
    </row>
    <row r="7" spans="1:32" x14ac:dyDescent="0.35">
      <c r="A7" t="s">
        <v>387</v>
      </c>
      <c r="B7" t="s">
        <v>388</v>
      </c>
      <c r="C7" t="s">
        <v>348</v>
      </c>
      <c r="D7" t="s">
        <v>389</v>
      </c>
      <c r="E7" t="s">
        <v>1895</v>
      </c>
      <c r="F7" t="s">
        <v>1875</v>
      </c>
      <c r="G7" t="s">
        <v>390</v>
      </c>
      <c r="I7">
        <v>13</v>
      </c>
      <c r="J7" t="s">
        <v>47</v>
      </c>
      <c r="K7" s="1">
        <v>44751</v>
      </c>
      <c r="L7" s="1">
        <v>44753</v>
      </c>
      <c r="M7" s="1">
        <v>44673</v>
      </c>
      <c r="O7" s="1" t="s">
        <v>121</v>
      </c>
      <c r="P7" t="s">
        <v>298</v>
      </c>
      <c r="Q7" t="s">
        <v>60</v>
      </c>
      <c r="R7" t="s">
        <v>304</v>
      </c>
      <c r="S7" t="s">
        <v>45</v>
      </c>
      <c r="T7" t="s">
        <v>329</v>
      </c>
      <c r="U7" t="s">
        <v>30</v>
      </c>
      <c r="V7" s="1">
        <v>44756</v>
      </c>
      <c r="W7" s="1" t="s">
        <v>64</v>
      </c>
      <c r="X7" t="s">
        <v>32</v>
      </c>
      <c r="Y7" s="1">
        <v>44767</v>
      </c>
      <c r="Z7" s="1" t="s">
        <v>391</v>
      </c>
      <c r="AA7" t="s">
        <v>344</v>
      </c>
      <c r="AB7" t="s">
        <v>1522</v>
      </c>
      <c r="AC7" t="str">
        <f>INDEX('DB Description'!$A$1:$B$23,MATCH(Tabela2[[#This Row],[Filial DB code]],'DB Description'!A:A,),2)</f>
        <v>Mason</v>
      </c>
      <c r="AD7" s="9">
        <f>Tabela2[[#This Row],[Issue2]]-Tabela2[[#This Row],[Failure2]]</f>
        <v>16</v>
      </c>
      <c r="AE7" t="str">
        <f t="shared" ref="AE7:AE8" si="2">"FY"&amp;IF(MONTH(Y7)&gt;=4,YEAR(Y7),YEAR(Y7)-1)</f>
        <v>FY2022</v>
      </c>
      <c r="AF7">
        <f>YEAR(Tabela2[[#This Row],[Issue2]])</f>
        <v>2022</v>
      </c>
    </row>
    <row r="8" spans="1:32" x14ac:dyDescent="0.35">
      <c r="A8" t="s">
        <v>392</v>
      </c>
      <c r="B8" t="s">
        <v>393</v>
      </c>
      <c r="C8" t="s">
        <v>348</v>
      </c>
      <c r="D8" t="s">
        <v>394</v>
      </c>
      <c r="E8" t="s">
        <v>1845</v>
      </c>
      <c r="F8" t="s">
        <v>571</v>
      </c>
      <c r="G8" t="s">
        <v>394</v>
      </c>
      <c r="I8">
        <v>438</v>
      </c>
      <c r="J8" t="s">
        <v>332</v>
      </c>
      <c r="K8" s="1">
        <v>44767</v>
      </c>
      <c r="L8" s="1"/>
      <c r="M8" s="1">
        <v>44662</v>
      </c>
      <c r="N8" s="1">
        <v>44701</v>
      </c>
      <c r="O8" s="1" t="s">
        <v>395</v>
      </c>
      <c r="P8" t="s">
        <v>386</v>
      </c>
      <c r="Q8" t="s">
        <v>91</v>
      </c>
      <c r="R8" t="s">
        <v>304</v>
      </c>
      <c r="S8" t="s">
        <v>45</v>
      </c>
      <c r="T8" t="s">
        <v>329</v>
      </c>
      <c r="U8" t="s">
        <v>30</v>
      </c>
      <c r="V8" s="1">
        <v>44768</v>
      </c>
      <c r="W8" s="1" t="s">
        <v>55</v>
      </c>
      <c r="X8" t="s">
        <v>32</v>
      </c>
      <c r="Y8" s="1">
        <v>44768</v>
      </c>
      <c r="Z8" s="1" t="s">
        <v>396</v>
      </c>
      <c r="AA8" t="s">
        <v>305</v>
      </c>
      <c r="AB8" t="s">
        <v>1513</v>
      </c>
      <c r="AC8" t="str">
        <f>INDEX('DB Description'!$A$1:$B$23,MATCH(Tabela2[[#This Row],[Filial DB code]],'DB Description'!A:A,),2)</f>
        <v>DCCO</v>
      </c>
      <c r="AD8" s="9">
        <f>Tabela2[[#This Row],[Issue2]]-Tabela2[[#This Row],[Failure2]]</f>
        <v>1</v>
      </c>
      <c r="AE8" t="str">
        <f t="shared" si="2"/>
        <v>FY2022</v>
      </c>
      <c r="AF8">
        <f>YEAR(Tabela2[[#This Row],[Issue2]])</f>
        <v>2022</v>
      </c>
    </row>
    <row r="9" spans="1:32" x14ac:dyDescent="0.35">
      <c r="A9" t="s">
        <v>404</v>
      </c>
      <c r="B9" t="s">
        <v>405</v>
      </c>
      <c r="C9" t="s">
        <v>348</v>
      </c>
      <c r="D9" t="s">
        <v>406</v>
      </c>
      <c r="E9" t="s">
        <v>1847</v>
      </c>
      <c r="F9" t="s">
        <v>1883</v>
      </c>
      <c r="G9" t="str">
        <f>Tabela2[[#This Row],[Failed Part Name]]</f>
        <v>muffler</v>
      </c>
      <c r="I9">
        <v>251</v>
      </c>
      <c r="J9" t="s">
        <v>37</v>
      </c>
      <c r="K9" s="1">
        <v>44768</v>
      </c>
      <c r="L9" s="1">
        <v>44768</v>
      </c>
      <c r="M9" s="1">
        <v>44650</v>
      </c>
      <c r="N9" s="1">
        <v>44670</v>
      </c>
      <c r="O9" s="1" t="s">
        <v>244</v>
      </c>
      <c r="P9" t="s">
        <v>407</v>
      </c>
      <c r="Q9" t="s">
        <v>78</v>
      </c>
      <c r="R9" t="s">
        <v>229</v>
      </c>
      <c r="S9" t="s">
        <v>45</v>
      </c>
      <c r="U9" t="s">
        <v>38</v>
      </c>
      <c r="V9" s="1">
        <v>44784</v>
      </c>
      <c r="W9" s="1" t="s">
        <v>53</v>
      </c>
      <c r="X9" t="s">
        <v>32</v>
      </c>
      <c r="Y9" s="1">
        <v>44784</v>
      </c>
      <c r="Z9" s="1" t="s">
        <v>408</v>
      </c>
      <c r="AA9" t="s">
        <v>328</v>
      </c>
      <c r="AB9" t="s">
        <v>1520</v>
      </c>
      <c r="AC9" t="str">
        <f>INDEX('DB Description'!$A$1:$B$23,MATCH(Tabela2[[#This Row],[Filial DB code]],'DB Description'!A:A,),2)</f>
        <v>Bauko</v>
      </c>
      <c r="AD9" s="9">
        <f>Tabela2[[#This Row],[Issue2]]-Tabela2[[#This Row],[Failure2]]</f>
        <v>16</v>
      </c>
      <c r="AE9" t="str">
        <f t="shared" ref="AE9:AE10" si="3">"FY"&amp;IF(MONTH(Y9)&gt;=4,YEAR(Y9),YEAR(Y9)-1)</f>
        <v>FY2022</v>
      </c>
      <c r="AF9">
        <f>YEAR(Tabela2[[#This Row],[Issue2]])</f>
        <v>2022</v>
      </c>
    </row>
    <row r="10" spans="1:32" x14ac:dyDescent="0.35">
      <c r="A10" t="s">
        <v>410</v>
      </c>
      <c r="B10" t="s">
        <v>411</v>
      </c>
      <c r="C10" t="s">
        <v>348</v>
      </c>
      <c r="D10" t="s">
        <v>149</v>
      </c>
      <c r="E10" t="s">
        <v>1901</v>
      </c>
      <c r="F10" t="s">
        <v>1922</v>
      </c>
      <c r="G10" t="str">
        <f>Tabela2[[#This Row],[Failed Part Name]]</f>
        <v>Dente de Aço</v>
      </c>
      <c r="I10">
        <v>117</v>
      </c>
      <c r="J10" t="s">
        <v>154</v>
      </c>
      <c r="K10" s="1">
        <v>44729</v>
      </c>
      <c r="L10" s="1">
        <v>44790</v>
      </c>
      <c r="M10" s="1">
        <v>44662</v>
      </c>
      <c r="O10" s="1" t="s">
        <v>412</v>
      </c>
      <c r="P10" t="s">
        <v>413</v>
      </c>
      <c r="Q10" t="s">
        <v>99</v>
      </c>
      <c r="R10" t="s">
        <v>40</v>
      </c>
      <c r="S10" t="s">
        <v>45</v>
      </c>
      <c r="T10" t="s">
        <v>340</v>
      </c>
      <c r="U10" t="s">
        <v>30</v>
      </c>
      <c r="V10" s="1">
        <v>44791</v>
      </c>
      <c r="W10" s="1" t="s">
        <v>250</v>
      </c>
      <c r="X10" t="s">
        <v>32</v>
      </c>
      <c r="Y10" s="1">
        <v>44791</v>
      </c>
      <c r="Z10" s="1" t="s">
        <v>414</v>
      </c>
      <c r="AA10" t="s">
        <v>339</v>
      </c>
      <c r="AB10" t="s">
        <v>1516</v>
      </c>
      <c r="AC10" t="str">
        <f>INDEX('DB Description'!$A$1:$B$23,MATCH(Tabela2[[#This Row],[Filial DB code]],'DB Description'!A:A,),2)</f>
        <v>Noroeste</v>
      </c>
      <c r="AD10" s="9">
        <f>Tabela2[[#This Row],[Issue2]]-Tabela2[[#This Row],[Failure2]]</f>
        <v>62</v>
      </c>
      <c r="AE10" t="str">
        <f t="shared" si="3"/>
        <v>FY2022</v>
      </c>
      <c r="AF10">
        <f>YEAR(Tabela2[[#This Row],[Issue2]])</f>
        <v>2022</v>
      </c>
    </row>
    <row r="11" spans="1:32" x14ac:dyDescent="0.35">
      <c r="A11" t="s">
        <v>418</v>
      </c>
      <c r="B11" t="s">
        <v>419</v>
      </c>
      <c r="C11" t="s">
        <v>348</v>
      </c>
      <c r="D11" t="s">
        <v>379</v>
      </c>
      <c r="E11" t="s">
        <v>1938</v>
      </c>
      <c r="G11" t="s">
        <v>420</v>
      </c>
      <c r="I11">
        <v>66</v>
      </c>
      <c r="J11" t="s">
        <v>47</v>
      </c>
      <c r="K11" s="1">
        <v>44740</v>
      </c>
      <c r="L11" s="1">
        <v>44804</v>
      </c>
      <c r="M11" s="1">
        <v>44683</v>
      </c>
      <c r="N11" s="1">
        <v>44713</v>
      </c>
      <c r="O11" s="1" t="s">
        <v>421</v>
      </c>
      <c r="P11" t="s">
        <v>422</v>
      </c>
      <c r="Q11" t="s">
        <v>168</v>
      </c>
      <c r="R11" t="s">
        <v>304</v>
      </c>
      <c r="S11" t="s">
        <v>45</v>
      </c>
      <c r="T11" t="s">
        <v>329</v>
      </c>
      <c r="U11" t="s">
        <v>30</v>
      </c>
      <c r="V11" s="1">
        <v>44804</v>
      </c>
      <c r="W11" s="1" t="s">
        <v>51</v>
      </c>
      <c r="X11" t="s">
        <v>32</v>
      </c>
      <c r="Y11" s="1">
        <v>44804</v>
      </c>
      <c r="AA11" t="s">
        <v>336</v>
      </c>
      <c r="AB11" t="s">
        <v>1521</v>
      </c>
      <c r="AC11" t="str">
        <f>INDEX('DB Description'!$A$1:$B$23,MATCH(Tabela2[[#This Row],[Filial DB code]],'DB Description'!A:A,),2)</f>
        <v>MANTOMAC-CHA (213SCA)</v>
      </c>
      <c r="AD11" s="9">
        <f>Tabela2[[#This Row],[Issue2]]-Tabela2[[#This Row],[Failure2]]</f>
        <v>64</v>
      </c>
      <c r="AE11" t="str">
        <f t="shared" ref="AE11:AE19" si="4">"FY"&amp;IF(MONTH(Y11)&gt;=4,YEAR(Y11),YEAR(Y11)-1)</f>
        <v>FY2022</v>
      </c>
      <c r="AF11">
        <f>YEAR(Tabela2[[#This Row],[Issue2]])</f>
        <v>2022</v>
      </c>
    </row>
    <row r="12" spans="1:32" x14ac:dyDescent="0.35">
      <c r="A12" t="s">
        <v>423</v>
      </c>
      <c r="B12" t="s">
        <v>424</v>
      </c>
      <c r="C12" t="s">
        <v>348</v>
      </c>
      <c r="D12" t="s">
        <v>416</v>
      </c>
      <c r="E12" t="s">
        <v>1856</v>
      </c>
      <c r="F12" t="s">
        <v>313</v>
      </c>
      <c r="G12" t="str">
        <f>Tabela2[[#This Row],[Failed Part Name]]</f>
        <v>NA</v>
      </c>
      <c r="I12">
        <v>70</v>
      </c>
      <c r="J12" t="s">
        <v>47</v>
      </c>
      <c r="K12" s="1">
        <v>44789</v>
      </c>
      <c r="L12" s="1">
        <v>44802</v>
      </c>
      <c r="M12" s="1">
        <v>44734</v>
      </c>
      <c r="N12" s="1">
        <v>44776</v>
      </c>
      <c r="O12" s="1" t="s">
        <v>52</v>
      </c>
      <c r="P12" t="s">
        <v>52</v>
      </c>
      <c r="Q12" t="s">
        <v>100</v>
      </c>
      <c r="R12" t="s">
        <v>299</v>
      </c>
      <c r="S12" t="s">
        <v>45</v>
      </c>
      <c r="T12" t="s">
        <v>329</v>
      </c>
      <c r="U12" t="s">
        <v>30</v>
      </c>
      <c r="V12" s="1">
        <v>44805</v>
      </c>
      <c r="W12" s="1" t="s">
        <v>53</v>
      </c>
      <c r="X12" t="s">
        <v>32</v>
      </c>
      <c r="Y12" s="1">
        <v>44805</v>
      </c>
      <c r="Z12" s="1" t="s">
        <v>417</v>
      </c>
      <c r="AA12" t="s">
        <v>341</v>
      </c>
      <c r="AB12" t="s">
        <v>1524</v>
      </c>
      <c r="AC12" t="str">
        <f>INDEX('DB Description'!$A$1:$B$23,MATCH(Tabela2[[#This Row],[Filial DB code]],'DB Description'!A:A,),2)</f>
        <v>Bauko</v>
      </c>
      <c r="AD12" s="9">
        <f>Tabela2[[#This Row],[Issue2]]-Tabela2[[#This Row],[Failure2]]</f>
        <v>16</v>
      </c>
      <c r="AE12" t="str">
        <f t="shared" si="4"/>
        <v>FY2022</v>
      </c>
      <c r="AF12">
        <f>YEAR(Tabela2[[#This Row],[Issue2]])</f>
        <v>2022</v>
      </c>
    </row>
    <row r="13" spans="1:32" x14ac:dyDescent="0.35">
      <c r="A13" t="s">
        <v>425</v>
      </c>
      <c r="B13" t="s">
        <v>426</v>
      </c>
      <c r="C13" t="s">
        <v>348</v>
      </c>
      <c r="D13" t="s">
        <v>147</v>
      </c>
      <c r="E13" s="4" t="s">
        <v>1872</v>
      </c>
      <c r="F13" s="4" t="s">
        <v>1942</v>
      </c>
      <c r="G13" t="s">
        <v>427</v>
      </c>
      <c r="I13">
        <v>468</v>
      </c>
      <c r="J13" t="s">
        <v>47</v>
      </c>
      <c r="K13" s="1">
        <v>44799</v>
      </c>
      <c r="L13" s="1"/>
      <c r="M13" s="1">
        <v>44641</v>
      </c>
      <c r="N13" s="1">
        <v>44663</v>
      </c>
      <c r="O13" s="1" t="s">
        <v>367</v>
      </c>
      <c r="P13" t="s">
        <v>428</v>
      </c>
      <c r="Q13" t="s">
        <v>100</v>
      </c>
      <c r="R13" t="s">
        <v>50</v>
      </c>
      <c r="S13" t="s">
        <v>45</v>
      </c>
      <c r="T13" t="s">
        <v>329</v>
      </c>
      <c r="U13" t="s">
        <v>30</v>
      </c>
      <c r="V13" s="1">
        <v>44810</v>
      </c>
      <c r="W13" s="1" t="s">
        <v>51</v>
      </c>
      <c r="X13" t="s">
        <v>32</v>
      </c>
      <c r="Y13" s="1">
        <v>44810</v>
      </c>
      <c r="Z13" s="1" t="s">
        <v>429</v>
      </c>
      <c r="AA13" t="s">
        <v>337</v>
      </c>
      <c r="AB13" t="s">
        <v>1519</v>
      </c>
      <c r="AC13" t="str">
        <f>INDEX('DB Description'!$A$1:$B$23,MATCH(Tabela2[[#This Row],[Filial DB code]],'DB Description'!A:A,),2)</f>
        <v>MANTOMAC-CHA (213SCA)</v>
      </c>
      <c r="AD13" s="9">
        <f>Tabela2[[#This Row],[Issue2]]-Tabela2[[#This Row],[Failure2]]</f>
        <v>11</v>
      </c>
      <c r="AE13" t="str">
        <f t="shared" si="4"/>
        <v>FY2022</v>
      </c>
      <c r="AF13">
        <f>YEAR(Tabela2[[#This Row],[Issue2]])</f>
        <v>2022</v>
      </c>
    </row>
    <row r="14" spans="1:32" x14ac:dyDescent="0.35">
      <c r="A14" t="s">
        <v>430</v>
      </c>
      <c r="B14" t="s">
        <v>431</v>
      </c>
      <c r="C14" t="s">
        <v>348</v>
      </c>
      <c r="D14" t="s">
        <v>153</v>
      </c>
      <c r="E14" t="s">
        <v>1901</v>
      </c>
      <c r="F14" t="s">
        <v>1922</v>
      </c>
      <c r="G14" t="str">
        <f>Tabela2[[#This Row],[Failed Part Name]]</f>
        <v>Cover</v>
      </c>
      <c r="I14">
        <v>5</v>
      </c>
      <c r="J14" t="s">
        <v>47</v>
      </c>
      <c r="K14" s="1">
        <v>44781</v>
      </c>
      <c r="L14" s="1">
        <v>44803</v>
      </c>
      <c r="M14" s="1">
        <v>44733</v>
      </c>
      <c r="O14" s="1" t="s">
        <v>432</v>
      </c>
      <c r="P14" t="s">
        <v>267</v>
      </c>
      <c r="Q14" t="s">
        <v>204</v>
      </c>
      <c r="R14" t="s">
        <v>223</v>
      </c>
      <c r="S14" t="s">
        <v>45</v>
      </c>
      <c r="T14" t="s">
        <v>329</v>
      </c>
      <c r="U14" t="s">
        <v>30</v>
      </c>
      <c r="V14" s="1">
        <v>44813</v>
      </c>
      <c r="W14" s="1" t="s">
        <v>53</v>
      </c>
      <c r="X14" t="s">
        <v>32</v>
      </c>
      <c r="Y14" s="1">
        <v>44813</v>
      </c>
      <c r="AA14" t="s">
        <v>397</v>
      </c>
      <c r="AB14" t="s">
        <v>243</v>
      </c>
      <c r="AC14" t="str">
        <f>INDEX('DB Description'!$A$1:$B$23,MATCH(Tabela2[[#This Row],[Filial DB code]],'DB Description'!A:A,),2)</f>
        <v>Bauko</v>
      </c>
      <c r="AD14" s="9">
        <f>Tabela2[[#This Row],[Issue2]]-Tabela2[[#This Row],[Failure2]]</f>
        <v>32</v>
      </c>
      <c r="AE14" t="str">
        <f t="shared" si="4"/>
        <v>FY2022</v>
      </c>
      <c r="AF14">
        <f>YEAR(Tabela2[[#This Row],[Issue2]])</f>
        <v>2022</v>
      </c>
    </row>
    <row r="15" spans="1:32" x14ac:dyDescent="0.35">
      <c r="A15" t="s">
        <v>433</v>
      </c>
      <c r="B15" t="s">
        <v>434</v>
      </c>
      <c r="C15" t="s">
        <v>348</v>
      </c>
      <c r="D15" t="s">
        <v>435</v>
      </c>
      <c r="E15" t="s">
        <v>1873</v>
      </c>
      <c r="F15" t="s">
        <v>1924</v>
      </c>
      <c r="G15" t="s">
        <v>436</v>
      </c>
      <c r="I15">
        <v>568</v>
      </c>
      <c r="J15" t="s">
        <v>47</v>
      </c>
      <c r="K15" s="1">
        <v>44813</v>
      </c>
      <c r="L15" s="1"/>
      <c r="M15" s="1">
        <v>44677</v>
      </c>
      <c r="N15" s="1">
        <v>44694</v>
      </c>
      <c r="O15" s="1" t="s">
        <v>437</v>
      </c>
      <c r="P15" t="s">
        <v>438</v>
      </c>
      <c r="Q15" t="s">
        <v>94</v>
      </c>
      <c r="R15" t="s">
        <v>40</v>
      </c>
      <c r="S15" t="s">
        <v>45</v>
      </c>
      <c r="T15" t="s">
        <v>329</v>
      </c>
      <c r="U15" t="s">
        <v>30</v>
      </c>
      <c r="V15" s="1">
        <v>44816</v>
      </c>
      <c r="W15" s="1" t="s">
        <v>51</v>
      </c>
      <c r="X15" t="s">
        <v>32</v>
      </c>
      <c r="Y15" s="1">
        <v>44816</v>
      </c>
      <c r="Z15" s="1" t="s">
        <v>439</v>
      </c>
      <c r="AA15" t="s">
        <v>336</v>
      </c>
      <c r="AB15" t="s">
        <v>1521</v>
      </c>
      <c r="AC15" t="str">
        <f>INDEX('DB Description'!$A$1:$B$23,MATCH(Tabela2[[#This Row],[Filial DB code]],'DB Description'!A:A,),2)</f>
        <v>MANTOMAC-CHA (213SCA)</v>
      </c>
      <c r="AD15" s="9">
        <f>Tabela2[[#This Row],[Issue2]]-Tabela2[[#This Row],[Failure2]]</f>
        <v>3</v>
      </c>
      <c r="AE15" t="str">
        <f t="shared" si="4"/>
        <v>FY2022</v>
      </c>
      <c r="AF15">
        <f>YEAR(Tabela2[[#This Row],[Issue2]])</f>
        <v>2022</v>
      </c>
    </row>
    <row r="16" spans="1:32" x14ac:dyDescent="0.35">
      <c r="A16" t="s">
        <v>440</v>
      </c>
      <c r="B16" t="s">
        <v>441</v>
      </c>
      <c r="C16" t="s">
        <v>348</v>
      </c>
      <c r="D16" t="s">
        <v>379</v>
      </c>
      <c r="E16" t="s">
        <v>1873</v>
      </c>
      <c r="F16" t="s">
        <v>1924</v>
      </c>
      <c r="G16" t="s">
        <v>442</v>
      </c>
      <c r="I16">
        <v>231</v>
      </c>
      <c r="J16" t="s">
        <v>28</v>
      </c>
      <c r="K16" s="1">
        <v>44804</v>
      </c>
      <c r="L16" s="1">
        <v>44804</v>
      </c>
      <c r="M16" s="1">
        <v>44683</v>
      </c>
      <c r="N16" s="1">
        <v>44713</v>
      </c>
      <c r="O16" s="1" t="s">
        <v>443</v>
      </c>
      <c r="P16" t="s">
        <v>444</v>
      </c>
      <c r="Q16" t="s">
        <v>94</v>
      </c>
      <c r="R16" t="s">
        <v>445</v>
      </c>
      <c r="S16" t="s">
        <v>45</v>
      </c>
      <c r="T16" t="s">
        <v>334</v>
      </c>
      <c r="U16" t="s">
        <v>30</v>
      </c>
      <c r="V16" s="1">
        <v>44818</v>
      </c>
      <c r="W16" s="1" t="s">
        <v>51</v>
      </c>
      <c r="X16" t="s">
        <v>32</v>
      </c>
      <c r="Y16" s="1">
        <v>44818</v>
      </c>
      <c r="Z16" s="1" t="s">
        <v>446</v>
      </c>
      <c r="AA16" t="s">
        <v>336</v>
      </c>
      <c r="AB16" t="s">
        <v>1521</v>
      </c>
      <c r="AC16" t="str">
        <f>INDEX('DB Description'!$A$1:$B$23,MATCH(Tabela2[[#This Row],[Filial DB code]],'DB Description'!A:A,),2)</f>
        <v>MANTOMAC-CHA (213SCA)</v>
      </c>
      <c r="AD16" s="9">
        <f>Tabela2[[#This Row],[Issue2]]-Tabela2[[#This Row],[Failure2]]</f>
        <v>14</v>
      </c>
      <c r="AE16" t="str">
        <f t="shared" si="4"/>
        <v>FY2022</v>
      </c>
      <c r="AF16">
        <f>YEAR(Tabela2[[#This Row],[Issue2]])</f>
        <v>2022</v>
      </c>
    </row>
    <row r="17" spans="1:32" x14ac:dyDescent="0.35">
      <c r="A17" t="s">
        <v>449</v>
      </c>
      <c r="B17" t="s">
        <v>450</v>
      </c>
      <c r="C17" t="s">
        <v>348</v>
      </c>
      <c r="D17" t="s">
        <v>451</v>
      </c>
      <c r="E17" t="s">
        <v>1873</v>
      </c>
      <c r="F17" t="s">
        <v>1924</v>
      </c>
      <c r="G17" t="s">
        <v>452</v>
      </c>
      <c r="I17">
        <v>222</v>
      </c>
      <c r="J17" t="s">
        <v>28</v>
      </c>
      <c r="K17" s="1">
        <v>44789</v>
      </c>
      <c r="L17" s="1">
        <v>44789</v>
      </c>
      <c r="M17" s="1">
        <v>44715</v>
      </c>
      <c r="N17" s="1">
        <v>44734</v>
      </c>
      <c r="O17" s="1" t="s">
        <v>443</v>
      </c>
      <c r="P17" t="s">
        <v>444</v>
      </c>
      <c r="Q17" t="s">
        <v>94</v>
      </c>
      <c r="R17" t="s">
        <v>445</v>
      </c>
      <c r="S17" t="s">
        <v>45</v>
      </c>
      <c r="T17" t="s">
        <v>334</v>
      </c>
      <c r="U17" t="s">
        <v>30</v>
      </c>
      <c r="V17" s="1">
        <v>44820</v>
      </c>
      <c r="W17" s="1" t="s">
        <v>51</v>
      </c>
      <c r="X17" t="s">
        <v>32</v>
      </c>
      <c r="Y17" s="1">
        <v>44820</v>
      </c>
      <c r="Z17" s="1" t="s">
        <v>453</v>
      </c>
      <c r="AA17" t="s">
        <v>336</v>
      </c>
      <c r="AB17" t="s">
        <v>1521</v>
      </c>
      <c r="AC17" t="str">
        <f>INDEX('DB Description'!$A$1:$B$23,MATCH(Tabela2[[#This Row],[Filial DB code]],'DB Description'!A:A,),2)</f>
        <v>MANTOMAC-CHA (213SCA)</v>
      </c>
      <c r="AD17" s="9">
        <f>Tabela2[[#This Row],[Issue2]]-Tabela2[[#This Row],[Failure2]]</f>
        <v>31</v>
      </c>
      <c r="AE17" t="str">
        <f t="shared" si="4"/>
        <v>FY2022</v>
      </c>
      <c r="AF17">
        <f>YEAR(Tabela2[[#This Row],[Issue2]])</f>
        <v>2022</v>
      </c>
    </row>
    <row r="18" spans="1:32" x14ac:dyDescent="0.35">
      <c r="A18" t="s">
        <v>454</v>
      </c>
      <c r="B18" t="s">
        <v>455</v>
      </c>
      <c r="C18" t="s">
        <v>348</v>
      </c>
      <c r="D18" t="s">
        <v>177</v>
      </c>
      <c r="E18" t="s">
        <v>1873</v>
      </c>
      <c r="F18" t="s">
        <v>1924</v>
      </c>
      <c r="G18" t="s">
        <v>456</v>
      </c>
      <c r="H18" s="4" t="s">
        <v>457</v>
      </c>
      <c r="I18">
        <v>116</v>
      </c>
      <c r="J18" t="s">
        <v>47</v>
      </c>
      <c r="K18" s="1">
        <v>44819</v>
      </c>
      <c r="L18" s="1">
        <v>44819</v>
      </c>
      <c r="M18" s="1">
        <v>44762</v>
      </c>
      <c r="N18" s="1">
        <v>44797</v>
      </c>
      <c r="O18" s="1" t="s">
        <v>295</v>
      </c>
      <c r="P18" t="s">
        <v>458</v>
      </c>
      <c r="Q18" t="s">
        <v>100</v>
      </c>
      <c r="R18" t="s">
        <v>299</v>
      </c>
      <c r="S18" t="s">
        <v>45</v>
      </c>
      <c r="T18" t="s">
        <v>329</v>
      </c>
      <c r="U18" t="s">
        <v>30</v>
      </c>
      <c r="V18" s="1">
        <v>44820</v>
      </c>
      <c r="W18" s="1" t="s">
        <v>53</v>
      </c>
      <c r="X18" t="s">
        <v>32</v>
      </c>
      <c r="Y18" s="1">
        <v>44820</v>
      </c>
      <c r="AA18" t="s">
        <v>403</v>
      </c>
      <c r="AB18" t="s">
        <v>1512</v>
      </c>
      <c r="AC18" t="str">
        <f>INDEX('DB Description'!$A$1:$B$23,MATCH(Tabela2[[#This Row],[Filial DB code]],'DB Description'!A:A,),2)</f>
        <v>Bauko</v>
      </c>
      <c r="AD18" s="9">
        <f>Tabela2[[#This Row],[Issue2]]-Tabela2[[#This Row],[Failure2]]</f>
        <v>1</v>
      </c>
      <c r="AE18" t="str">
        <f t="shared" si="4"/>
        <v>FY2022</v>
      </c>
      <c r="AF18">
        <f>YEAR(Tabela2[[#This Row],[Issue2]])</f>
        <v>2022</v>
      </c>
    </row>
    <row r="19" spans="1:32" x14ac:dyDescent="0.35">
      <c r="A19" t="s">
        <v>447</v>
      </c>
      <c r="B19" t="s">
        <v>448</v>
      </c>
      <c r="C19" t="s">
        <v>348</v>
      </c>
      <c r="D19" t="s">
        <v>183</v>
      </c>
      <c r="E19" t="s">
        <v>1901</v>
      </c>
      <c r="F19" t="s">
        <v>1922</v>
      </c>
      <c r="G19" t="str">
        <f>Tabela2[[#This Row],[Failed Part Name]]</f>
        <v>PARAFUSO</v>
      </c>
      <c r="I19">
        <v>4</v>
      </c>
      <c r="J19" t="s">
        <v>28</v>
      </c>
      <c r="K19" s="1">
        <v>44819</v>
      </c>
      <c r="L19" s="1">
        <v>44819</v>
      </c>
      <c r="M19" s="1">
        <v>44797</v>
      </c>
      <c r="O19" s="1" t="s">
        <v>174</v>
      </c>
      <c r="P19" t="s">
        <v>80</v>
      </c>
      <c r="Q19" t="s">
        <v>204</v>
      </c>
      <c r="R19" t="s">
        <v>193</v>
      </c>
      <c r="S19" t="s">
        <v>45</v>
      </c>
      <c r="T19" t="s">
        <v>334</v>
      </c>
      <c r="U19" t="s">
        <v>30</v>
      </c>
      <c r="V19" s="1">
        <v>44820</v>
      </c>
      <c r="W19" s="1" t="s">
        <v>53</v>
      </c>
      <c r="X19" t="s">
        <v>32</v>
      </c>
      <c r="Y19" s="1">
        <v>44820</v>
      </c>
      <c r="AA19" t="s">
        <v>397</v>
      </c>
      <c r="AB19" t="s">
        <v>243</v>
      </c>
      <c r="AC19" t="str">
        <f>INDEX('DB Description'!$A$1:$B$23,MATCH(Tabela2[[#This Row],[Filial DB code]],'DB Description'!A:A,),2)</f>
        <v>Bauko</v>
      </c>
      <c r="AD19" s="9">
        <f>Tabela2[[#This Row],[Issue2]]-Tabela2[[#This Row],[Failure2]]</f>
        <v>1</v>
      </c>
      <c r="AE19" t="str">
        <f t="shared" si="4"/>
        <v>FY2022</v>
      </c>
      <c r="AF19">
        <f>YEAR(Tabela2[[#This Row],[Issue2]])</f>
        <v>2022</v>
      </c>
    </row>
    <row r="20" spans="1:32" x14ac:dyDescent="0.35">
      <c r="A20" t="s">
        <v>459</v>
      </c>
      <c r="B20" t="s">
        <v>460</v>
      </c>
      <c r="C20" t="s">
        <v>348</v>
      </c>
      <c r="D20" t="s">
        <v>179</v>
      </c>
      <c r="E20" t="s">
        <v>1895</v>
      </c>
      <c r="F20" t="s">
        <v>1875</v>
      </c>
      <c r="G20" t="s">
        <v>461</v>
      </c>
      <c r="I20">
        <v>4</v>
      </c>
      <c r="J20" t="s">
        <v>332</v>
      </c>
      <c r="K20" s="1">
        <v>44796</v>
      </c>
      <c r="L20" s="1">
        <v>44796</v>
      </c>
      <c r="M20" s="1">
        <v>44789</v>
      </c>
      <c r="O20" s="1" t="s">
        <v>462</v>
      </c>
      <c r="P20" t="s">
        <v>142</v>
      </c>
      <c r="Q20" t="s">
        <v>116</v>
      </c>
      <c r="R20" t="s">
        <v>304</v>
      </c>
      <c r="S20" t="s">
        <v>45</v>
      </c>
      <c r="T20" t="s">
        <v>329</v>
      </c>
      <c r="U20" t="s">
        <v>30</v>
      </c>
      <c r="V20" s="1">
        <v>44827</v>
      </c>
      <c r="W20" s="1" t="s">
        <v>64</v>
      </c>
      <c r="X20" t="s">
        <v>32</v>
      </c>
      <c r="Y20" s="1">
        <v>44827</v>
      </c>
      <c r="Z20" s="1" t="s">
        <v>463</v>
      </c>
      <c r="AA20" t="s">
        <v>331</v>
      </c>
      <c r="AB20" t="s">
        <v>1514</v>
      </c>
      <c r="AC20" t="str">
        <f>INDEX('DB Description'!$A$1:$B$23,MATCH(Tabela2[[#This Row],[Filial DB code]],'DB Description'!A:A,),2)</f>
        <v>Mason</v>
      </c>
      <c r="AD20" s="9">
        <f>Tabela2[[#This Row],[Issue2]]-Tabela2[[#This Row],[Failure2]]</f>
        <v>31</v>
      </c>
      <c r="AE20" t="str">
        <f t="shared" ref="AE20:AE23" si="5">"FY"&amp;IF(MONTH(Y20)&gt;=4,YEAR(Y20),YEAR(Y20)-1)</f>
        <v>FY2022</v>
      </c>
      <c r="AF20">
        <f>YEAR(Tabela2[[#This Row],[Issue2]])</f>
        <v>2022</v>
      </c>
    </row>
    <row r="21" spans="1:32" x14ac:dyDescent="0.35">
      <c r="A21" t="s">
        <v>464</v>
      </c>
      <c r="B21" t="s">
        <v>465</v>
      </c>
      <c r="C21" t="s">
        <v>348</v>
      </c>
      <c r="D21" t="s">
        <v>466</v>
      </c>
      <c r="E21" t="s">
        <v>1901</v>
      </c>
      <c r="F21" t="s">
        <v>1922</v>
      </c>
      <c r="G21" t="str">
        <f>Tabela2[[#This Row],[Failed Part Name]]</f>
        <v>ADAPTADOR</v>
      </c>
      <c r="I21">
        <v>43</v>
      </c>
      <c r="J21" t="s">
        <v>47</v>
      </c>
      <c r="K21" s="1">
        <v>44823</v>
      </c>
      <c r="L21" s="1"/>
      <c r="M21" s="1">
        <v>44764</v>
      </c>
      <c r="N21" s="1">
        <v>44823</v>
      </c>
      <c r="O21" s="1" t="s">
        <v>467</v>
      </c>
      <c r="P21" t="s">
        <v>468</v>
      </c>
      <c r="Q21" t="s">
        <v>100</v>
      </c>
      <c r="R21" t="s">
        <v>304</v>
      </c>
      <c r="S21" t="s">
        <v>45</v>
      </c>
      <c r="T21" t="s">
        <v>340</v>
      </c>
      <c r="U21" t="s">
        <v>409</v>
      </c>
      <c r="V21" s="1">
        <v>44830</v>
      </c>
      <c r="W21" s="1" t="s">
        <v>53</v>
      </c>
      <c r="X21" t="s">
        <v>32</v>
      </c>
      <c r="Y21" s="1">
        <v>44830</v>
      </c>
      <c r="AA21" t="s">
        <v>397</v>
      </c>
      <c r="AB21" t="s">
        <v>243</v>
      </c>
      <c r="AC21" t="str">
        <f>INDEX('DB Description'!$A$1:$B$23,MATCH(Tabela2[[#This Row],[Filial DB code]],'DB Description'!A:A,),2)</f>
        <v>Bauko</v>
      </c>
      <c r="AD21" s="9">
        <f>Tabela2[[#This Row],[Issue2]]-Tabela2[[#This Row],[Failure2]]</f>
        <v>7</v>
      </c>
      <c r="AE21" t="str">
        <f t="shared" si="5"/>
        <v>FY2022</v>
      </c>
      <c r="AF21">
        <f>YEAR(Tabela2[[#This Row],[Issue2]])</f>
        <v>2022</v>
      </c>
    </row>
    <row r="22" spans="1:32" x14ac:dyDescent="0.35">
      <c r="A22" t="s">
        <v>469</v>
      </c>
      <c r="B22" t="s">
        <v>470</v>
      </c>
      <c r="C22" t="s">
        <v>348</v>
      </c>
      <c r="D22" t="s">
        <v>471</v>
      </c>
      <c r="E22" t="s">
        <v>1895</v>
      </c>
      <c r="F22" t="s">
        <v>1875</v>
      </c>
      <c r="G22" t="str">
        <f>Tabela2[[#This Row],[Failed Part Name]]</f>
        <v>SELO</v>
      </c>
      <c r="I22">
        <v>162</v>
      </c>
      <c r="J22" t="s">
        <v>28</v>
      </c>
      <c r="K22" s="1">
        <v>44826</v>
      </c>
      <c r="L22" s="1"/>
      <c r="M22" s="1">
        <v>44753</v>
      </c>
      <c r="O22" s="1" t="s">
        <v>220</v>
      </c>
      <c r="P22" t="s">
        <v>472</v>
      </c>
      <c r="Q22" t="s">
        <v>115</v>
      </c>
      <c r="R22" t="s">
        <v>304</v>
      </c>
      <c r="S22" t="s">
        <v>45</v>
      </c>
      <c r="T22" t="s">
        <v>334</v>
      </c>
      <c r="U22" t="s">
        <v>30</v>
      </c>
      <c r="V22" s="1">
        <v>44831</v>
      </c>
      <c r="W22" s="1" t="s">
        <v>53</v>
      </c>
      <c r="X22" t="s">
        <v>32</v>
      </c>
      <c r="Y22" s="1">
        <v>44831</v>
      </c>
      <c r="AA22" t="s">
        <v>397</v>
      </c>
      <c r="AB22" t="s">
        <v>243</v>
      </c>
      <c r="AC22" t="str">
        <f>INDEX('DB Description'!$A$1:$B$23,MATCH(Tabela2[[#This Row],[Filial DB code]],'DB Description'!A:A,),2)</f>
        <v>Bauko</v>
      </c>
      <c r="AD22" s="9">
        <f>Tabela2[[#This Row],[Issue2]]-Tabela2[[#This Row],[Failure2]]</f>
        <v>5</v>
      </c>
      <c r="AE22" t="str">
        <f t="shared" si="5"/>
        <v>FY2022</v>
      </c>
      <c r="AF22">
        <f>YEAR(Tabela2[[#This Row],[Issue2]])</f>
        <v>2022</v>
      </c>
    </row>
    <row r="23" spans="1:32" x14ac:dyDescent="0.35">
      <c r="A23" t="s">
        <v>473</v>
      </c>
      <c r="B23" t="s">
        <v>474</v>
      </c>
      <c r="C23" t="s">
        <v>348</v>
      </c>
      <c r="D23" t="s">
        <v>475</v>
      </c>
      <c r="E23" t="s">
        <v>1872</v>
      </c>
      <c r="F23" t="s">
        <v>1871</v>
      </c>
      <c r="G23" t="str">
        <f>Tabela2[[#This Row],[Failed Part Name]]</f>
        <v>CONJUNTO ESTEIRA</v>
      </c>
      <c r="I23">
        <v>454</v>
      </c>
      <c r="J23" t="s">
        <v>37</v>
      </c>
      <c r="K23" s="1">
        <v>44832</v>
      </c>
      <c r="L23" s="1"/>
      <c r="M23" s="1">
        <v>44651</v>
      </c>
      <c r="N23" s="1">
        <v>44658</v>
      </c>
      <c r="O23" s="1" t="s">
        <v>476</v>
      </c>
      <c r="P23" t="s">
        <v>477</v>
      </c>
      <c r="Q23" t="s">
        <v>42</v>
      </c>
      <c r="R23" t="s">
        <v>229</v>
      </c>
      <c r="S23" t="s">
        <v>45</v>
      </c>
      <c r="U23" t="s">
        <v>38</v>
      </c>
      <c r="V23" s="1">
        <v>44837</v>
      </c>
      <c r="W23" s="1" t="s">
        <v>53</v>
      </c>
      <c r="X23" t="s">
        <v>32</v>
      </c>
      <c r="Y23" s="1">
        <v>44837</v>
      </c>
      <c r="AA23" t="s">
        <v>397</v>
      </c>
      <c r="AB23" t="s">
        <v>243</v>
      </c>
      <c r="AC23" t="str">
        <f>INDEX('DB Description'!$A$1:$B$23,MATCH(Tabela2[[#This Row],[Filial DB code]],'DB Description'!A:A,),2)</f>
        <v>Bauko</v>
      </c>
      <c r="AD23" s="9">
        <f>Tabela2[[#This Row],[Issue2]]-Tabela2[[#This Row],[Failure2]]</f>
        <v>5</v>
      </c>
      <c r="AE23" t="str">
        <f t="shared" si="5"/>
        <v>FY2022</v>
      </c>
      <c r="AF23">
        <f>YEAR(Tabela2[[#This Row],[Issue2]])</f>
        <v>2022</v>
      </c>
    </row>
    <row r="24" spans="1:32" x14ac:dyDescent="0.35">
      <c r="A24" s="8" t="s">
        <v>483</v>
      </c>
      <c r="B24" s="8" t="s">
        <v>474</v>
      </c>
      <c r="C24" s="8" t="s">
        <v>348</v>
      </c>
      <c r="D24" s="8" t="s">
        <v>484</v>
      </c>
      <c r="E24" t="s">
        <v>1872</v>
      </c>
      <c r="F24" t="s">
        <v>1871</v>
      </c>
      <c r="G24" t="str">
        <f>Tabela2[[#This Row],[Failed Part Name]]</f>
        <v>CONJUNTO ESTEIRA</v>
      </c>
      <c r="H24" s="8"/>
      <c r="I24" s="3">
        <v>22</v>
      </c>
      <c r="J24" s="8" t="s">
        <v>28</v>
      </c>
      <c r="K24" s="1">
        <v>44841</v>
      </c>
      <c r="L24" s="1"/>
      <c r="M24" s="1">
        <v>44734</v>
      </c>
      <c r="N24" s="1">
        <v>44817</v>
      </c>
      <c r="O24" s="8" t="s">
        <v>476</v>
      </c>
      <c r="P24" s="8" t="s">
        <v>477</v>
      </c>
      <c r="Q24" s="8" t="s">
        <v>42</v>
      </c>
      <c r="R24" s="8" t="s">
        <v>229</v>
      </c>
      <c r="S24" s="8" t="s">
        <v>45</v>
      </c>
      <c r="T24" s="8" t="s">
        <v>334</v>
      </c>
      <c r="U24" s="8" t="s">
        <v>30</v>
      </c>
      <c r="V24" s="1">
        <v>44853</v>
      </c>
      <c r="W24" s="8" t="s">
        <v>53</v>
      </c>
      <c r="X24" s="8" t="s">
        <v>32</v>
      </c>
      <c r="Y24" s="1">
        <v>44853</v>
      </c>
      <c r="Z24" s="8"/>
      <c r="AA24" s="8" t="s">
        <v>397</v>
      </c>
      <c r="AB24" t="s">
        <v>243</v>
      </c>
      <c r="AC24" t="str">
        <f>INDEX('DB Description'!$A$1:$B$23,MATCH(Tabela2[[#This Row],[Filial DB code]],'DB Description'!A:A,),2)</f>
        <v>Bauko</v>
      </c>
      <c r="AD24" s="9">
        <f>Tabela2[[#This Row],[Issue2]]-Tabela2[[#This Row],[Failure2]]</f>
        <v>12</v>
      </c>
      <c r="AE24" t="str">
        <f t="shared" ref="AE24:AE28" si="6">"FY"&amp;IF(MONTH(Y24)&gt;=4,YEAR(Y24),YEAR(Y24)-1)</f>
        <v>FY2022</v>
      </c>
      <c r="AF24">
        <f>YEAR(Tabela2[[#This Row],[Issue2]])</f>
        <v>2022</v>
      </c>
    </row>
    <row r="25" spans="1:32" x14ac:dyDescent="0.35">
      <c r="A25" t="s">
        <v>486</v>
      </c>
      <c r="B25" t="s">
        <v>487</v>
      </c>
      <c r="C25" t="s">
        <v>348</v>
      </c>
      <c r="D25" t="s">
        <v>208</v>
      </c>
      <c r="E25" t="s">
        <v>1872</v>
      </c>
      <c r="F25" t="s">
        <v>1871</v>
      </c>
      <c r="G25" t="s">
        <v>488</v>
      </c>
      <c r="I25">
        <v>212</v>
      </c>
      <c r="J25" t="s">
        <v>28</v>
      </c>
      <c r="K25" s="1">
        <v>44833</v>
      </c>
      <c r="L25" s="1"/>
      <c r="M25" s="1">
        <v>44762</v>
      </c>
      <c r="O25" s="1" t="s">
        <v>489</v>
      </c>
      <c r="P25" t="s">
        <v>490</v>
      </c>
      <c r="Q25" t="s">
        <v>204</v>
      </c>
      <c r="R25" t="s">
        <v>223</v>
      </c>
      <c r="S25" t="s">
        <v>45</v>
      </c>
      <c r="T25" t="s">
        <v>334</v>
      </c>
      <c r="U25" t="s">
        <v>30</v>
      </c>
      <c r="V25" s="1">
        <v>44858</v>
      </c>
      <c r="W25" s="1" t="s">
        <v>51</v>
      </c>
      <c r="X25" t="s">
        <v>32</v>
      </c>
      <c r="Y25" s="1">
        <v>44858</v>
      </c>
      <c r="AA25" t="s">
        <v>336</v>
      </c>
      <c r="AB25" t="s">
        <v>1521</v>
      </c>
      <c r="AC25" t="str">
        <f>INDEX('DB Description'!$A$1:$B$23,MATCH(Tabela2[[#This Row],[Filial DB code]],'DB Description'!A:A,),2)</f>
        <v>MANTOMAC-CHA (213SCA)</v>
      </c>
      <c r="AD25" s="9">
        <f>Tabela2[[#This Row],[Issue2]]-Tabela2[[#This Row],[Failure2]]</f>
        <v>25</v>
      </c>
      <c r="AE25" t="str">
        <f t="shared" si="6"/>
        <v>FY2022</v>
      </c>
      <c r="AF25">
        <f>YEAR(Tabela2[[#This Row],[Issue2]])</f>
        <v>2022</v>
      </c>
    </row>
    <row r="26" spans="1:32" x14ac:dyDescent="0.35">
      <c r="A26" t="s">
        <v>491</v>
      </c>
      <c r="B26" t="s">
        <v>492</v>
      </c>
      <c r="C26" t="s">
        <v>348</v>
      </c>
      <c r="D26" t="s">
        <v>493</v>
      </c>
      <c r="E26" t="s">
        <v>1895</v>
      </c>
      <c r="F26" t="s">
        <v>1875</v>
      </c>
      <c r="G26" t="str">
        <f>Tabela2[[#This Row],[Failed Part Name]]</f>
        <v>Espuma</v>
      </c>
      <c r="I26">
        <v>532</v>
      </c>
      <c r="J26" t="s">
        <v>28</v>
      </c>
      <c r="K26" s="1">
        <v>44826</v>
      </c>
      <c r="L26" s="1"/>
      <c r="M26" s="1">
        <v>44662</v>
      </c>
      <c r="N26" s="1">
        <v>44762</v>
      </c>
      <c r="O26" s="1" t="s">
        <v>494</v>
      </c>
      <c r="P26" t="s">
        <v>495</v>
      </c>
      <c r="Q26" t="s">
        <v>199</v>
      </c>
      <c r="R26" t="s">
        <v>193</v>
      </c>
      <c r="S26" t="s">
        <v>45</v>
      </c>
      <c r="T26" t="s">
        <v>334</v>
      </c>
      <c r="U26" t="s">
        <v>30</v>
      </c>
      <c r="V26" s="1">
        <v>44832</v>
      </c>
      <c r="W26" s="1" t="s">
        <v>55</v>
      </c>
      <c r="X26" t="s">
        <v>32</v>
      </c>
      <c r="Y26" s="1">
        <v>44860</v>
      </c>
      <c r="Z26" s="1" t="s">
        <v>496</v>
      </c>
      <c r="AA26" t="s">
        <v>478</v>
      </c>
      <c r="AB26" t="s">
        <v>1513</v>
      </c>
      <c r="AC26" t="str">
        <f>INDEX('DB Description'!$A$1:$B$23,MATCH(Tabela2[[#This Row],[Filial DB code]],'DB Description'!A:A,),2)</f>
        <v>DCCO</v>
      </c>
      <c r="AD26" s="9">
        <f>Tabela2[[#This Row],[Issue2]]-Tabela2[[#This Row],[Failure2]]</f>
        <v>34</v>
      </c>
      <c r="AE26" t="str">
        <f t="shared" si="6"/>
        <v>FY2022</v>
      </c>
      <c r="AF26">
        <f>YEAR(Tabela2[[#This Row],[Issue2]])</f>
        <v>2022</v>
      </c>
    </row>
    <row r="27" spans="1:32" x14ac:dyDescent="0.35">
      <c r="A27" t="s">
        <v>498</v>
      </c>
      <c r="B27" t="s">
        <v>499</v>
      </c>
      <c r="C27" t="s">
        <v>348</v>
      </c>
      <c r="D27" t="s">
        <v>228</v>
      </c>
      <c r="E27" t="s">
        <v>1873</v>
      </c>
      <c r="F27" t="s">
        <v>1924</v>
      </c>
      <c r="G27" t="s">
        <v>500</v>
      </c>
      <c r="I27">
        <v>16</v>
      </c>
      <c r="J27" t="s">
        <v>47</v>
      </c>
      <c r="K27" s="1">
        <v>44837</v>
      </c>
      <c r="L27" s="1">
        <v>44862</v>
      </c>
      <c r="M27" s="1">
        <v>44816</v>
      </c>
      <c r="N27" s="1">
        <v>44837</v>
      </c>
      <c r="O27" s="1" t="s">
        <v>501</v>
      </c>
      <c r="P27" t="s">
        <v>41</v>
      </c>
      <c r="Q27" t="s">
        <v>94</v>
      </c>
      <c r="R27" t="s">
        <v>50</v>
      </c>
      <c r="S27" t="s">
        <v>45</v>
      </c>
      <c r="T27" t="s">
        <v>329</v>
      </c>
      <c r="U27" t="s">
        <v>30</v>
      </c>
      <c r="V27" s="1">
        <v>44868</v>
      </c>
      <c r="W27" s="1" t="s">
        <v>51</v>
      </c>
      <c r="X27" t="s">
        <v>32</v>
      </c>
      <c r="Y27" s="1">
        <v>44868</v>
      </c>
      <c r="Z27" s="1" t="s">
        <v>502</v>
      </c>
      <c r="AA27" t="s">
        <v>337</v>
      </c>
      <c r="AB27" t="s">
        <v>1519</v>
      </c>
      <c r="AC27" t="str">
        <f>INDEX('DB Description'!$A$1:$B$23,MATCH(Tabela2[[#This Row],[Filial DB code]],'DB Description'!A:A,),2)</f>
        <v>MANTOMAC-CHA (213SCA)</v>
      </c>
      <c r="AD27" s="9">
        <f>Tabela2[[#This Row],[Issue2]]-Tabela2[[#This Row],[Failure2]]</f>
        <v>31</v>
      </c>
      <c r="AE27" t="str">
        <f t="shared" si="6"/>
        <v>FY2022</v>
      </c>
      <c r="AF27">
        <f>YEAR(Tabela2[[#This Row],[Issue2]])</f>
        <v>2022</v>
      </c>
    </row>
    <row r="28" spans="1:32" x14ac:dyDescent="0.35">
      <c r="A28" t="s">
        <v>507</v>
      </c>
      <c r="B28" t="s">
        <v>508</v>
      </c>
      <c r="C28" t="s">
        <v>348</v>
      </c>
      <c r="D28" t="s">
        <v>471</v>
      </c>
      <c r="E28" t="s">
        <v>1872</v>
      </c>
      <c r="F28" t="s">
        <v>1871</v>
      </c>
      <c r="G28" t="s">
        <v>509</v>
      </c>
      <c r="I28">
        <v>317</v>
      </c>
      <c r="J28" t="s">
        <v>28</v>
      </c>
      <c r="K28" s="1">
        <v>44852</v>
      </c>
      <c r="L28" s="1"/>
      <c r="M28" s="1">
        <v>44753</v>
      </c>
      <c r="O28" s="1" t="s">
        <v>510</v>
      </c>
      <c r="P28" t="s">
        <v>131</v>
      </c>
      <c r="Q28" t="s">
        <v>132</v>
      </c>
      <c r="R28" t="s">
        <v>229</v>
      </c>
      <c r="S28" t="s">
        <v>45</v>
      </c>
      <c r="T28" t="s">
        <v>334</v>
      </c>
      <c r="U28" t="s">
        <v>30</v>
      </c>
      <c r="V28" s="1">
        <v>44853</v>
      </c>
      <c r="W28" s="1" t="s">
        <v>53</v>
      </c>
      <c r="X28" t="s">
        <v>32</v>
      </c>
      <c r="Y28" s="1">
        <v>44873</v>
      </c>
      <c r="Z28" s="1" t="s">
        <v>511</v>
      </c>
      <c r="AA28" t="s">
        <v>403</v>
      </c>
      <c r="AB28" t="s">
        <v>1512</v>
      </c>
      <c r="AC28" t="str">
        <f>INDEX('DB Description'!$A$1:$B$23,MATCH(Tabela2[[#This Row],[Filial DB code]],'DB Description'!A:A,),2)</f>
        <v>Bauko</v>
      </c>
      <c r="AD28" s="9">
        <f>Tabela2[[#This Row],[Issue2]]-Tabela2[[#This Row],[Failure2]]</f>
        <v>21</v>
      </c>
      <c r="AE28" t="str">
        <f t="shared" si="6"/>
        <v>FY2022</v>
      </c>
      <c r="AF28">
        <f>YEAR(Tabela2[[#This Row],[Issue2]])</f>
        <v>2022</v>
      </c>
    </row>
    <row r="29" spans="1:32" x14ac:dyDescent="0.35">
      <c r="A29" t="s">
        <v>503</v>
      </c>
      <c r="B29" t="s">
        <v>504</v>
      </c>
      <c r="C29" t="s">
        <v>348</v>
      </c>
      <c r="D29" t="s">
        <v>505</v>
      </c>
      <c r="E29" t="s">
        <v>1895</v>
      </c>
      <c r="F29" t="s">
        <v>1875</v>
      </c>
      <c r="G29" t="str">
        <f>Tabela2[[#This Row],[Failed Part Name]]</f>
        <v>VÁLVULA DRENO</v>
      </c>
      <c r="I29">
        <v>580</v>
      </c>
      <c r="J29" t="s">
        <v>154</v>
      </c>
      <c r="K29" s="1">
        <v>44861</v>
      </c>
      <c r="L29" s="1">
        <v>44866</v>
      </c>
      <c r="M29" s="1">
        <v>44678</v>
      </c>
      <c r="N29" s="1">
        <v>44720</v>
      </c>
      <c r="O29" s="1" t="s">
        <v>146</v>
      </c>
      <c r="P29" t="s">
        <v>506</v>
      </c>
      <c r="Q29" t="s">
        <v>78</v>
      </c>
      <c r="R29" t="s">
        <v>304</v>
      </c>
      <c r="S29" t="s">
        <v>45</v>
      </c>
      <c r="T29" t="s">
        <v>340</v>
      </c>
      <c r="U29" t="s">
        <v>30</v>
      </c>
      <c r="V29" s="1">
        <v>44873</v>
      </c>
      <c r="W29" s="1" t="s">
        <v>53</v>
      </c>
      <c r="X29" t="s">
        <v>32</v>
      </c>
      <c r="Y29" s="1">
        <v>44873</v>
      </c>
      <c r="AA29" t="s">
        <v>397</v>
      </c>
      <c r="AB29" t="s">
        <v>243</v>
      </c>
      <c r="AC29" t="str">
        <f>INDEX('DB Description'!$A$1:$B$23,MATCH(Tabela2[[#This Row],[Filial DB code]],'DB Description'!A:A,),2)</f>
        <v>Bauko</v>
      </c>
      <c r="AD29" s="9">
        <f>Tabela2[[#This Row],[Issue2]]-Tabela2[[#This Row],[Failure2]]</f>
        <v>12</v>
      </c>
      <c r="AE29" t="str">
        <f t="shared" ref="AE29:AE34" si="7">"FY"&amp;IF(MONTH(Y29)&gt;=4,YEAR(Y29),YEAR(Y29)-1)</f>
        <v>FY2022</v>
      </c>
      <c r="AF29">
        <f>YEAR(Tabela2[[#This Row],[Issue2]])</f>
        <v>2022</v>
      </c>
    </row>
    <row r="30" spans="1:32" x14ac:dyDescent="0.35">
      <c r="A30" t="s">
        <v>512</v>
      </c>
      <c r="B30" t="s">
        <v>513</v>
      </c>
      <c r="C30" t="s">
        <v>348</v>
      </c>
      <c r="D30" t="s">
        <v>514</v>
      </c>
      <c r="E30" t="s">
        <v>1901</v>
      </c>
      <c r="F30" t="s">
        <v>1922</v>
      </c>
      <c r="G30" t="str">
        <f>Tabela2[[#This Row],[Failed Part Name]]</f>
        <v>Caçamba</v>
      </c>
      <c r="I30">
        <v>977</v>
      </c>
      <c r="J30" t="s">
        <v>37</v>
      </c>
      <c r="K30" s="1">
        <v>44868</v>
      </c>
      <c r="L30" s="1"/>
      <c r="M30" s="1">
        <v>44648</v>
      </c>
      <c r="N30" s="1">
        <v>44683</v>
      </c>
      <c r="O30" s="1" t="s">
        <v>515</v>
      </c>
      <c r="P30" t="s">
        <v>343</v>
      </c>
      <c r="Q30" t="s">
        <v>99</v>
      </c>
      <c r="R30" t="s">
        <v>40</v>
      </c>
      <c r="S30" t="s">
        <v>45</v>
      </c>
      <c r="U30" t="s">
        <v>38</v>
      </c>
      <c r="V30" s="1">
        <v>44876</v>
      </c>
      <c r="W30" s="1" t="s">
        <v>53</v>
      </c>
      <c r="X30" t="s">
        <v>32</v>
      </c>
      <c r="Y30" s="1">
        <v>44876</v>
      </c>
      <c r="Z30" s="1" t="s">
        <v>516</v>
      </c>
      <c r="AA30" t="s">
        <v>328</v>
      </c>
      <c r="AB30" t="s">
        <v>1520</v>
      </c>
      <c r="AC30" t="str">
        <f>INDEX('DB Description'!$A$1:$B$23,MATCH(Tabela2[[#This Row],[Filial DB code]],'DB Description'!A:A,),2)</f>
        <v>Bauko</v>
      </c>
      <c r="AD30" s="9">
        <f>Tabela2[[#This Row],[Issue2]]-Tabela2[[#This Row],[Failure2]]</f>
        <v>8</v>
      </c>
      <c r="AE30" t="str">
        <f t="shared" si="7"/>
        <v>FY2022</v>
      </c>
      <c r="AF30">
        <f>YEAR(Tabela2[[#This Row],[Issue2]])</f>
        <v>2022</v>
      </c>
    </row>
    <row r="31" spans="1:32" x14ac:dyDescent="0.35">
      <c r="A31" t="s">
        <v>517</v>
      </c>
      <c r="B31" t="s">
        <v>518</v>
      </c>
      <c r="C31" t="s">
        <v>348</v>
      </c>
      <c r="D31" t="s">
        <v>519</v>
      </c>
      <c r="E31" t="s">
        <v>1850</v>
      </c>
      <c r="F31" t="s">
        <v>1937</v>
      </c>
      <c r="G31" t="s">
        <v>520</v>
      </c>
      <c r="I31">
        <v>144</v>
      </c>
      <c r="J31" t="s">
        <v>28</v>
      </c>
      <c r="K31" s="1">
        <v>44792</v>
      </c>
      <c r="L31" s="1">
        <v>44796</v>
      </c>
      <c r="M31" s="1">
        <v>44715</v>
      </c>
      <c r="N31" s="1">
        <v>44747</v>
      </c>
      <c r="O31" s="1" t="s">
        <v>521</v>
      </c>
      <c r="P31" t="s">
        <v>80</v>
      </c>
      <c r="Q31" t="s">
        <v>204</v>
      </c>
      <c r="R31" t="s">
        <v>50</v>
      </c>
      <c r="S31" t="s">
        <v>45</v>
      </c>
      <c r="T31" t="s">
        <v>334</v>
      </c>
      <c r="U31" t="s">
        <v>30</v>
      </c>
      <c r="V31" s="1">
        <v>44882</v>
      </c>
      <c r="W31" s="1" t="s">
        <v>51</v>
      </c>
      <c r="X31" t="s">
        <v>32</v>
      </c>
      <c r="Y31" s="1">
        <v>44882</v>
      </c>
      <c r="AA31" t="s">
        <v>336</v>
      </c>
      <c r="AB31" t="s">
        <v>1521</v>
      </c>
      <c r="AC31" t="str">
        <f>INDEX('DB Description'!$A$1:$B$23,MATCH(Tabela2[[#This Row],[Filial DB code]],'DB Description'!A:A,),2)</f>
        <v>MANTOMAC-CHA (213SCA)</v>
      </c>
      <c r="AD31" s="9">
        <f>Tabela2[[#This Row],[Issue2]]-Tabela2[[#This Row],[Failure2]]</f>
        <v>90</v>
      </c>
      <c r="AE31" t="str">
        <f t="shared" si="7"/>
        <v>FY2022</v>
      </c>
      <c r="AF31">
        <f>YEAR(Tabela2[[#This Row],[Issue2]])</f>
        <v>2022</v>
      </c>
    </row>
    <row r="32" spans="1:32" x14ac:dyDescent="0.35">
      <c r="A32" t="s">
        <v>522</v>
      </c>
      <c r="B32" t="s">
        <v>465</v>
      </c>
      <c r="C32" t="s">
        <v>348</v>
      </c>
      <c r="D32" t="s">
        <v>153</v>
      </c>
      <c r="E32" t="s">
        <v>1901</v>
      </c>
      <c r="F32" t="s">
        <v>1922</v>
      </c>
      <c r="G32" t="str">
        <f>Tabela2[[#This Row],[Failed Part Name]]</f>
        <v>ADAPTADOR</v>
      </c>
      <c r="I32">
        <v>512</v>
      </c>
      <c r="J32" t="s">
        <v>47</v>
      </c>
      <c r="K32" s="1">
        <v>44883</v>
      </c>
      <c r="L32" s="1"/>
      <c r="M32" s="1">
        <v>44733</v>
      </c>
      <c r="O32" s="1" t="s">
        <v>467</v>
      </c>
      <c r="P32" t="s">
        <v>468</v>
      </c>
      <c r="Q32" t="s">
        <v>100</v>
      </c>
      <c r="R32" t="s">
        <v>304</v>
      </c>
      <c r="S32" t="s">
        <v>45</v>
      </c>
      <c r="T32" t="s">
        <v>329</v>
      </c>
      <c r="U32" t="s">
        <v>30</v>
      </c>
      <c r="V32" s="1">
        <v>44888</v>
      </c>
      <c r="W32" s="1" t="s">
        <v>53</v>
      </c>
      <c r="X32" t="s">
        <v>32</v>
      </c>
      <c r="Y32" s="1">
        <v>44888</v>
      </c>
      <c r="AA32" t="s">
        <v>397</v>
      </c>
      <c r="AB32" t="s">
        <v>243</v>
      </c>
      <c r="AC32" t="str">
        <f>INDEX('DB Description'!$A$1:$B$23,MATCH(Tabela2[[#This Row],[Filial DB code]],'DB Description'!A:A,),2)</f>
        <v>Bauko</v>
      </c>
      <c r="AD32" s="9">
        <f>Tabela2[[#This Row],[Issue2]]-Tabela2[[#This Row],[Failure2]]</f>
        <v>5</v>
      </c>
      <c r="AE32" t="str">
        <f t="shared" si="7"/>
        <v>FY2022</v>
      </c>
      <c r="AF32">
        <f>YEAR(Tabela2[[#This Row],[Issue2]])</f>
        <v>2022</v>
      </c>
    </row>
    <row r="33" spans="1:32" x14ac:dyDescent="0.35">
      <c r="A33" t="s">
        <v>523</v>
      </c>
      <c r="B33" t="s">
        <v>524</v>
      </c>
      <c r="C33" t="s">
        <v>348</v>
      </c>
      <c r="D33" t="s">
        <v>525</v>
      </c>
      <c r="E33" t="s">
        <v>1901</v>
      </c>
      <c r="F33" t="s">
        <v>1922</v>
      </c>
      <c r="G33" t="str">
        <f>Tabela2[[#This Row],[Failed Part Name]]</f>
        <v>BUCKET</v>
      </c>
      <c r="I33">
        <v>1409</v>
      </c>
      <c r="J33" t="s">
        <v>28</v>
      </c>
      <c r="K33" s="1">
        <v>44883</v>
      </c>
      <c r="L33" s="1">
        <v>44883</v>
      </c>
      <c r="M33" s="1">
        <v>44643</v>
      </c>
      <c r="N33" s="1">
        <v>44662</v>
      </c>
      <c r="O33" s="1" t="s">
        <v>526</v>
      </c>
      <c r="P33" t="s">
        <v>140</v>
      </c>
      <c r="Q33" t="s">
        <v>99</v>
      </c>
      <c r="R33" t="s">
        <v>40</v>
      </c>
      <c r="S33" t="s">
        <v>45</v>
      </c>
      <c r="T33" t="s">
        <v>334</v>
      </c>
      <c r="U33" t="s">
        <v>30</v>
      </c>
      <c r="V33" s="1">
        <v>44889</v>
      </c>
      <c r="W33" s="1" t="s">
        <v>53</v>
      </c>
      <c r="X33" t="s">
        <v>32</v>
      </c>
      <c r="Y33" s="1">
        <v>44889</v>
      </c>
      <c r="Z33" s="1" t="s">
        <v>527</v>
      </c>
      <c r="AA33" t="s">
        <v>528</v>
      </c>
      <c r="AB33" t="s">
        <v>1520</v>
      </c>
      <c r="AC33" t="str">
        <f>INDEX('DB Description'!$A$1:$B$23,MATCH(Tabela2[[#This Row],[Filial DB code]],'DB Description'!A:A,),2)</f>
        <v>Bauko</v>
      </c>
      <c r="AD33" s="9">
        <f>Tabela2[[#This Row],[Issue2]]-Tabela2[[#This Row],[Failure2]]</f>
        <v>6</v>
      </c>
      <c r="AE33" t="str">
        <f t="shared" si="7"/>
        <v>FY2022</v>
      </c>
      <c r="AF33">
        <f>YEAR(Tabela2[[#This Row],[Issue2]])</f>
        <v>2022</v>
      </c>
    </row>
    <row r="34" spans="1:32" x14ac:dyDescent="0.35">
      <c r="A34" t="s">
        <v>529</v>
      </c>
      <c r="B34" t="s">
        <v>530</v>
      </c>
      <c r="C34" t="s">
        <v>348</v>
      </c>
      <c r="D34" t="s">
        <v>416</v>
      </c>
      <c r="E34" t="s">
        <v>1878</v>
      </c>
      <c r="F34" t="s">
        <v>681</v>
      </c>
      <c r="G34" t="str">
        <f>Tabela2[[#This Row],[Failed Part Name]]</f>
        <v>PARTES LATERAIS CINZAS DO PARABRISA</v>
      </c>
      <c r="I34">
        <v>404</v>
      </c>
      <c r="J34" t="s">
        <v>28</v>
      </c>
      <c r="K34" s="1">
        <v>44887</v>
      </c>
      <c r="L34" s="1">
        <v>44890</v>
      </c>
      <c r="M34" s="1">
        <v>44734</v>
      </c>
      <c r="N34" s="1">
        <v>44776</v>
      </c>
      <c r="O34" s="1" t="s">
        <v>52</v>
      </c>
      <c r="P34" t="s">
        <v>531</v>
      </c>
      <c r="Q34" t="s">
        <v>115</v>
      </c>
      <c r="R34" t="s">
        <v>229</v>
      </c>
      <c r="S34" t="s">
        <v>45</v>
      </c>
      <c r="T34" t="s">
        <v>334</v>
      </c>
      <c r="U34" t="s">
        <v>30</v>
      </c>
      <c r="V34" s="1">
        <v>44890</v>
      </c>
      <c r="W34" s="1" t="s">
        <v>53</v>
      </c>
      <c r="X34" t="s">
        <v>32</v>
      </c>
      <c r="Y34" s="1">
        <v>44890</v>
      </c>
      <c r="Z34" s="1" t="s">
        <v>532</v>
      </c>
      <c r="AA34" t="s">
        <v>341</v>
      </c>
      <c r="AB34" t="s">
        <v>1524</v>
      </c>
      <c r="AC34" t="str">
        <f>INDEX('DB Description'!$A$1:$B$23,MATCH(Tabela2[[#This Row],[Filial DB code]],'DB Description'!A:A,),2)</f>
        <v>Bauko</v>
      </c>
      <c r="AD34" s="9">
        <f>Tabela2[[#This Row],[Issue2]]-Tabela2[[#This Row],[Failure2]]</f>
        <v>3</v>
      </c>
      <c r="AE34" t="str">
        <f t="shared" si="7"/>
        <v>FY2022</v>
      </c>
      <c r="AF34">
        <f>YEAR(Tabela2[[#This Row],[Issue2]])</f>
        <v>2022</v>
      </c>
    </row>
    <row r="35" spans="1:32" x14ac:dyDescent="0.35">
      <c r="A35" s="8" t="s">
        <v>539</v>
      </c>
      <c r="B35" s="8" t="s">
        <v>540</v>
      </c>
      <c r="C35" s="8" t="s">
        <v>348</v>
      </c>
      <c r="D35" s="8" t="s">
        <v>228</v>
      </c>
      <c r="E35" t="s">
        <v>1895</v>
      </c>
      <c r="F35" t="s">
        <v>1875</v>
      </c>
      <c r="G35" s="8" t="s">
        <v>541</v>
      </c>
      <c r="H35" s="8"/>
      <c r="I35" s="3">
        <v>91</v>
      </c>
      <c r="J35" s="8" t="s">
        <v>28</v>
      </c>
      <c r="K35" s="1">
        <v>44888</v>
      </c>
      <c r="L35" s="1">
        <v>44888</v>
      </c>
      <c r="M35" s="1">
        <v>44816</v>
      </c>
      <c r="N35" s="1">
        <v>44837</v>
      </c>
      <c r="O35" s="8" t="s">
        <v>251</v>
      </c>
      <c r="P35" s="8" t="s">
        <v>298</v>
      </c>
      <c r="Q35" s="8" t="s">
        <v>91</v>
      </c>
      <c r="R35" s="8" t="s">
        <v>304</v>
      </c>
      <c r="S35" s="8" t="s">
        <v>45</v>
      </c>
      <c r="T35" s="8" t="s">
        <v>334</v>
      </c>
      <c r="U35" s="8" t="s">
        <v>30</v>
      </c>
      <c r="V35" s="1">
        <v>44896</v>
      </c>
      <c r="W35" s="8" t="s">
        <v>51</v>
      </c>
      <c r="X35" s="8" t="s">
        <v>32</v>
      </c>
      <c r="Y35" s="1">
        <v>44896</v>
      </c>
      <c r="Z35" s="8" t="s">
        <v>542</v>
      </c>
      <c r="AA35" s="8" t="s">
        <v>337</v>
      </c>
      <c r="AB35" t="s">
        <v>1519</v>
      </c>
      <c r="AC35" t="str">
        <f>INDEX('DB Description'!$A$1:$B$23,MATCH(Tabela2[[#This Row],[Filial DB code]],'DB Description'!A:A,),2)</f>
        <v>MANTOMAC-CHA (213SCA)</v>
      </c>
      <c r="AD35" s="9">
        <f>Tabela2[[#This Row],[Issue2]]-Tabela2[[#This Row],[Failure2]]</f>
        <v>8</v>
      </c>
      <c r="AE35" t="str">
        <f t="shared" ref="AE35:AE39" si="8">"FY"&amp;IF(MONTH(Y35)&gt;=4,YEAR(Y35),YEAR(Y35)-1)</f>
        <v>FY2022</v>
      </c>
      <c r="AF35">
        <f>YEAR(Tabela2[[#This Row],[Issue2]])</f>
        <v>2022</v>
      </c>
    </row>
    <row r="36" spans="1:32" x14ac:dyDescent="0.35">
      <c r="A36" s="8" t="s">
        <v>534</v>
      </c>
      <c r="B36" s="8" t="s">
        <v>535</v>
      </c>
      <c r="C36" s="8" t="s">
        <v>348</v>
      </c>
      <c r="D36" s="8" t="s">
        <v>536</v>
      </c>
      <c r="E36" s="8"/>
      <c r="F36" s="8"/>
      <c r="G36" t="str">
        <f>Tabela2[[#This Row],[Failed Part Name]]</f>
        <v>FILTRO DE COMBUSTÍVEL</v>
      </c>
      <c r="H36" s="8"/>
      <c r="I36" s="3">
        <v>594</v>
      </c>
      <c r="J36" s="8" t="s">
        <v>28</v>
      </c>
      <c r="K36" s="1">
        <v>44874</v>
      </c>
      <c r="L36" s="1"/>
      <c r="M36" s="1">
        <v>44673</v>
      </c>
      <c r="N36" s="1">
        <v>44727</v>
      </c>
      <c r="O36" s="8" t="s">
        <v>537</v>
      </c>
      <c r="P36" s="8" t="s">
        <v>538</v>
      </c>
      <c r="Q36" s="8" t="s">
        <v>168</v>
      </c>
      <c r="R36" s="8" t="s">
        <v>50</v>
      </c>
      <c r="S36" s="8" t="s">
        <v>45</v>
      </c>
      <c r="T36" s="8" t="s">
        <v>334</v>
      </c>
      <c r="U36" s="8" t="s">
        <v>30</v>
      </c>
      <c r="V36" s="1">
        <v>44896</v>
      </c>
      <c r="W36" s="8" t="s">
        <v>53</v>
      </c>
      <c r="X36" s="8" t="s">
        <v>32</v>
      </c>
      <c r="Y36" s="1">
        <v>44896</v>
      </c>
      <c r="Z36" s="8"/>
      <c r="AA36" s="8" t="s">
        <v>397</v>
      </c>
      <c r="AB36" t="s">
        <v>243</v>
      </c>
      <c r="AC36" t="str">
        <f>INDEX('DB Description'!$A$1:$B$23,MATCH(Tabela2[[#This Row],[Filial DB code]],'DB Description'!A:A,),2)</f>
        <v>Bauko</v>
      </c>
      <c r="AD36" s="9">
        <f>Tabela2[[#This Row],[Issue2]]-Tabela2[[#This Row],[Failure2]]</f>
        <v>22</v>
      </c>
      <c r="AE36" t="str">
        <f t="shared" si="8"/>
        <v>FY2022</v>
      </c>
      <c r="AF36">
        <f>YEAR(Tabela2[[#This Row],[Issue2]])</f>
        <v>2022</v>
      </c>
    </row>
    <row r="37" spans="1:32" x14ac:dyDescent="0.35">
      <c r="A37" t="s">
        <v>545</v>
      </c>
      <c r="B37" t="s">
        <v>546</v>
      </c>
      <c r="C37" t="s">
        <v>348</v>
      </c>
      <c r="D37" t="s">
        <v>547</v>
      </c>
      <c r="E37" t="s">
        <v>1866</v>
      </c>
      <c r="F37" t="s">
        <v>1898</v>
      </c>
      <c r="G37" t="s">
        <v>548</v>
      </c>
      <c r="I37">
        <v>1050</v>
      </c>
      <c r="J37" t="s">
        <v>28</v>
      </c>
      <c r="K37" s="1">
        <v>44875</v>
      </c>
      <c r="L37" s="1"/>
      <c r="M37" s="1">
        <v>44725</v>
      </c>
      <c r="N37" s="1">
        <v>44763</v>
      </c>
      <c r="O37" s="1" t="s">
        <v>186</v>
      </c>
      <c r="P37" t="s">
        <v>110</v>
      </c>
      <c r="Q37" t="s">
        <v>42</v>
      </c>
      <c r="R37" t="s">
        <v>50</v>
      </c>
      <c r="S37" t="s">
        <v>45</v>
      </c>
      <c r="T37" t="s">
        <v>334</v>
      </c>
      <c r="U37" t="s">
        <v>30</v>
      </c>
      <c r="V37" s="1">
        <v>44903</v>
      </c>
      <c r="W37" s="1" t="s">
        <v>64</v>
      </c>
      <c r="X37" t="s">
        <v>32</v>
      </c>
      <c r="Y37" s="1">
        <v>44903</v>
      </c>
      <c r="AA37" t="s">
        <v>344</v>
      </c>
      <c r="AB37" t="s">
        <v>1522</v>
      </c>
      <c r="AC37" t="str">
        <f>INDEX('DB Description'!$A$1:$B$23,MATCH(Tabela2[[#This Row],[Filial DB code]],'DB Description'!A:A,),2)</f>
        <v>Mason</v>
      </c>
      <c r="AD37" s="9">
        <f>Tabela2[[#This Row],[Issue2]]-Tabela2[[#This Row],[Failure2]]</f>
        <v>28</v>
      </c>
      <c r="AE37" t="str">
        <f t="shared" si="8"/>
        <v>FY2022</v>
      </c>
      <c r="AF37">
        <f>YEAR(Tabela2[[#This Row],[Issue2]])</f>
        <v>2022</v>
      </c>
    </row>
    <row r="38" spans="1:32" x14ac:dyDescent="0.35">
      <c r="A38" t="s">
        <v>549</v>
      </c>
      <c r="B38" t="s">
        <v>550</v>
      </c>
      <c r="C38" t="s">
        <v>348</v>
      </c>
      <c r="D38" t="s">
        <v>183</v>
      </c>
      <c r="E38" t="s">
        <v>1895</v>
      </c>
      <c r="F38" t="s">
        <v>1875</v>
      </c>
      <c r="G38" t="str">
        <f>Tabela2[[#This Row],[Failed Part Name]]</f>
        <v>anticongelante</v>
      </c>
      <c r="I38">
        <v>29</v>
      </c>
      <c r="J38" t="s">
        <v>332</v>
      </c>
      <c r="K38" s="1">
        <v>44894</v>
      </c>
      <c r="L38" s="1"/>
      <c r="M38" s="1">
        <v>44797</v>
      </c>
      <c r="O38" s="1" t="s">
        <v>295</v>
      </c>
      <c r="P38" t="s">
        <v>551</v>
      </c>
      <c r="Q38" t="s">
        <v>100</v>
      </c>
      <c r="R38" t="s">
        <v>299</v>
      </c>
      <c r="S38" t="s">
        <v>45</v>
      </c>
      <c r="T38" t="s">
        <v>329</v>
      </c>
      <c r="U38" t="s">
        <v>30</v>
      </c>
      <c r="V38" s="1">
        <v>44903</v>
      </c>
      <c r="W38" s="1" t="s">
        <v>53</v>
      </c>
      <c r="X38" t="s">
        <v>32</v>
      </c>
      <c r="Y38" s="1">
        <v>44903</v>
      </c>
      <c r="AA38" t="s">
        <v>397</v>
      </c>
      <c r="AB38" t="s">
        <v>243</v>
      </c>
      <c r="AC38" t="str">
        <f>INDEX('DB Description'!$A$1:$B$23,MATCH(Tabela2[[#This Row],[Filial DB code]],'DB Description'!A:A,),2)</f>
        <v>Bauko</v>
      </c>
      <c r="AD38" s="9">
        <f>Tabela2[[#This Row],[Issue2]]-Tabela2[[#This Row],[Failure2]]</f>
        <v>9</v>
      </c>
      <c r="AE38" t="str">
        <f t="shared" si="8"/>
        <v>FY2022</v>
      </c>
      <c r="AF38">
        <f>YEAR(Tabela2[[#This Row],[Issue2]])</f>
        <v>2022</v>
      </c>
    </row>
    <row r="39" spans="1:32" x14ac:dyDescent="0.35">
      <c r="A39" t="s">
        <v>552</v>
      </c>
      <c r="B39" t="s">
        <v>553</v>
      </c>
      <c r="C39" t="s">
        <v>348</v>
      </c>
      <c r="D39" t="s">
        <v>547</v>
      </c>
      <c r="E39" t="s">
        <v>1873</v>
      </c>
      <c r="F39" t="s">
        <v>1924</v>
      </c>
      <c r="G39" t="s">
        <v>554</v>
      </c>
      <c r="I39">
        <v>1050</v>
      </c>
      <c r="J39" t="s">
        <v>28</v>
      </c>
      <c r="K39" s="1">
        <v>44875</v>
      </c>
      <c r="L39" s="1"/>
      <c r="M39" s="1">
        <v>44725</v>
      </c>
      <c r="N39" s="1">
        <v>44763</v>
      </c>
      <c r="O39" s="1" t="s">
        <v>555</v>
      </c>
      <c r="P39" t="s">
        <v>556</v>
      </c>
      <c r="Q39" t="s">
        <v>94</v>
      </c>
      <c r="R39" t="s">
        <v>229</v>
      </c>
      <c r="S39" t="s">
        <v>45</v>
      </c>
      <c r="T39" t="s">
        <v>334</v>
      </c>
      <c r="U39" t="s">
        <v>30</v>
      </c>
      <c r="V39" s="1">
        <v>44904</v>
      </c>
      <c r="W39" s="1" t="s">
        <v>64</v>
      </c>
      <c r="X39" t="s">
        <v>32</v>
      </c>
      <c r="Y39" s="1">
        <v>44904</v>
      </c>
      <c r="Z39" s="1" t="s">
        <v>557</v>
      </c>
      <c r="AA39" t="s">
        <v>344</v>
      </c>
      <c r="AB39" t="s">
        <v>1522</v>
      </c>
      <c r="AC39" t="str">
        <f>INDEX('DB Description'!$A$1:$B$23,MATCH(Tabela2[[#This Row],[Filial DB code]],'DB Description'!A:A,),2)</f>
        <v>Mason</v>
      </c>
      <c r="AD39" s="9">
        <f>Tabela2[[#This Row],[Issue2]]-Tabela2[[#This Row],[Failure2]]</f>
        <v>29</v>
      </c>
      <c r="AE39" t="str">
        <f t="shared" si="8"/>
        <v>FY2022</v>
      </c>
      <c r="AF39">
        <f>YEAR(Tabela2[[#This Row],[Issue2]])</f>
        <v>2022</v>
      </c>
    </row>
    <row r="40" spans="1:32" x14ac:dyDescent="0.35">
      <c r="A40" t="s">
        <v>560</v>
      </c>
      <c r="B40" t="s">
        <v>561</v>
      </c>
      <c r="C40" t="s">
        <v>348</v>
      </c>
      <c r="D40" t="s">
        <v>562</v>
      </c>
      <c r="G40" t="s">
        <v>563</v>
      </c>
      <c r="I40">
        <v>63</v>
      </c>
      <c r="J40" t="s">
        <v>332</v>
      </c>
      <c r="K40" s="1">
        <v>44917</v>
      </c>
      <c r="L40" s="1"/>
      <c r="M40" s="1">
        <v>44742</v>
      </c>
      <c r="N40" s="1">
        <v>44894</v>
      </c>
      <c r="O40" s="1" t="s">
        <v>564</v>
      </c>
      <c r="P40" t="s">
        <v>178</v>
      </c>
      <c r="Q40" t="s">
        <v>85</v>
      </c>
      <c r="R40" t="s">
        <v>50</v>
      </c>
      <c r="S40" t="s">
        <v>45</v>
      </c>
      <c r="T40" t="s">
        <v>329</v>
      </c>
      <c r="U40" t="s">
        <v>30</v>
      </c>
      <c r="V40" s="1">
        <v>44918</v>
      </c>
      <c r="W40" s="1" t="s">
        <v>51</v>
      </c>
      <c r="X40" t="s">
        <v>32</v>
      </c>
      <c r="Y40" s="1">
        <v>44918</v>
      </c>
      <c r="Z40" s="1" t="s">
        <v>342</v>
      </c>
      <c r="AA40" t="s">
        <v>337</v>
      </c>
      <c r="AB40" t="s">
        <v>1519</v>
      </c>
      <c r="AC40" t="str">
        <f>INDEX('DB Description'!$A$1:$B$23,MATCH(Tabela2[[#This Row],[Filial DB code]],'DB Description'!A:A,),2)</f>
        <v>MANTOMAC-CHA (213SCA)</v>
      </c>
      <c r="AD40" s="9">
        <f>Tabela2[[#This Row],[Issue2]]-Tabela2[[#This Row],[Failure2]]</f>
        <v>1</v>
      </c>
      <c r="AE40" t="str">
        <f t="shared" ref="AE40:AE45" si="9">"FY"&amp;IF(MONTH(Y40)&gt;=4,YEAR(Y40),YEAR(Y40)-1)</f>
        <v>FY2022</v>
      </c>
      <c r="AF40">
        <f>YEAR(Tabela2[[#This Row],[Issue2]])</f>
        <v>2022</v>
      </c>
    </row>
    <row r="41" spans="1:32" x14ac:dyDescent="0.35">
      <c r="A41" t="s">
        <v>565</v>
      </c>
      <c r="B41" t="s">
        <v>566</v>
      </c>
      <c r="C41" t="s">
        <v>348</v>
      </c>
      <c r="D41" t="s">
        <v>262</v>
      </c>
      <c r="E41" t="s">
        <v>1895</v>
      </c>
      <c r="F41" t="s">
        <v>1875</v>
      </c>
      <c r="G41" t="s">
        <v>567</v>
      </c>
      <c r="I41">
        <v>13</v>
      </c>
      <c r="J41" t="s">
        <v>28</v>
      </c>
      <c r="K41" s="1">
        <v>44888</v>
      </c>
      <c r="L41" s="1">
        <v>44890</v>
      </c>
      <c r="M41" s="1">
        <v>44817</v>
      </c>
      <c r="N41" s="1">
        <v>44882</v>
      </c>
      <c r="O41" s="1" t="s">
        <v>568</v>
      </c>
      <c r="P41" t="s">
        <v>569</v>
      </c>
      <c r="Q41" t="s">
        <v>204</v>
      </c>
      <c r="R41" t="s">
        <v>304</v>
      </c>
      <c r="S41" t="s">
        <v>45</v>
      </c>
      <c r="T41" t="s">
        <v>334</v>
      </c>
      <c r="U41" t="s">
        <v>30</v>
      </c>
      <c r="V41" s="1">
        <v>44921</v>
      </c>
      <c r="W41" s="1" t="s">
        <v>51</v>
      </c>
      <c r="X41" t="s">
        <v>32</v>
      </c>
      <c r="Y41" s="1">
        <v>44921</v>
      </c>
      <c r="Z41" s="1" t="s">
        <v>570</v>
      </c>
      <c r="AA41" t="s">
        <v>336</v>
      </c>
      <c r="AB41" t="s">
        <v>1521</v>
      </c>
      <c r="AC41" t="str">
        <f>INDEX('DB Description'!$A$1:$B$23,MATCH(Tabela2[[#This Row],[Filial DB code]],'DB Description'!A:A,),2)</f>
        <v>MANTOMAC-CHA (213SCA)</v>
      </c>
      <c r="AD41" s="9">
        <f>Tabela2[[#This Row],[Issue2]]-Tabela2[[#This Row],[Failure2]]</f>
        <v>33</v>
      </c>
      <c r="AE41" t="str">
        <f t="shared" si="9"/>
        <v>FY2022</v>
      </c>
      <c r="AF41">
        <f>YEAR(Tabela2[[#This Row],[Issue2]])</f>
        <v>2022</v>
      </c>
    </row>
    <row r="42" spans="1:32" x14ac:dyDescent="0.35">
      <c r="A42" t="s">
        <v>573</v>
      </c>
      <c r="B42" t="s">
        <v>574</v>
      </c>
      <c r="C42" t="s">
        <v>348</v>
      </c>
      <c r="D42" t="s">
        <v>379</v>
      </c>
      <c r="E42" s="4" t="s">
        <v>1872</v>
      </c>
      <c r="F42" s="4" t="s">
        <v>1942</v>
      </c>
      <c r="G42" t="s">
        <v>575</v>
      </c>
      <c r="I42">
        <v>231</v>
      </c>
      <c r="J42" t="s">
        <v>332</v>
      </c>
      <c r="K42" s="1">
        <v>44781</v>
      </c>
      <c r="L42" s="1">
        <v>44902</v>
      </c>
      <c r="M42" s="1">
        <v>44683</v>
      </c>
      <c r="N42" s="1">
        <v>44713</v>
      </c>
      <c r="O42" s="1" t="s">
        <v>576</v>
      </c>
      <c r="P42" t="s">
        <v>211</v>
      </c>
      <c r="Q42" t="s">
        <v>204</v>
      </c>
      <c r="R42" t="s">
        <v>223</v>
      </c>
      <c r="S42" t="s">
        <v>45</v>
      </c>
      <c r="T42" t="s">
        <v>329</v>
      </c>
      <c r="U42" t="s">
        <v>30</v>
      </c>
      <c r="V42" s="1">
        <v>44931.606967592597</v>
      </c>
      <c r="W42" s="1" t="s">
        <v>51</v>
      </c>
      <c r="X42" t="s">
        <v>32</v>
      </c>
      <c r="Y42" s="1">
        <v>44931</v>
      </c>
      <c r="AA42" t="s">
        <v>336</v>
      </c>
      <c r="AB42" t="s">
        <v>1521</v>
      </c>
      <c r="AC42" t="str">
        <f>INDEX('DB Description'!$A$1:$B$23,MATCH(Tabela2[[#This Row],[Filial DB code]],'DB Description'!A:A,),2)</f>
        <v>MANTOMAC-CHA (213SCA)</v>
      </c>
      <c r="AD42" s="9">
        <f>Tabela2[[#This Row],[Issue2]]-Tabela2[[#This Row],[Failure2]]</f>
        <v>150</v>
      </c>
      <c r="AE42" t="str">
        <f t="shared" si="9"/>
        <v>FY2022</v>
      </c>
      <c r="AF42">
        <f>YEAR(Tabela2[[#This Row],[Issue2]])</f>
        <v>2023</v>
      </c>
    </row>
    <row r="43" spans="1:32" x14ac:dyDescent="0.35">
      <c r="A43" t="s">
        <v>577</v>
      </c>
      <c r="B43" t="s">
        <v>578</v>
      </c>
      <c r="C43" t="s">
        <v>348</v>
      </c>
      <c r="D43" t="s">
        <v>234</v>
      </c>
      <c r="G43" t="s">
        <v>579</v>
      </c>
      <c r="I43">
        <v>3</v>
      </c>
      <c r="J43" t="s">
        <v>332</v>
      </c>
      <c r="K43" s="1">
        <v>44904</v>
      </c>
      <c r="L43" s="1">
        <v>44904</v>
      </c>
      <c r="M43" s="1">
        <v>44830</v>
      </c>
      <c r="O43" s="1" t="s">
        <v>421</v>
      </c>
      <c r="P43" t="s">
        <v>422</v>
      </c>
      <c r="Q43" t="s">
        <v>168</v>
      </c>
      <c r="R43" t="s">
        <v>148</v>
      </c>
      <c r="S43" t="s">
        <v>45</v>
      </c>
      <c r="T43" t="s">
        <v>329</v>
      </c>
      <c r="U43" t="s">
        <v>30</v>
      </c>
      <c r="V43" s="1">
        <v>44936.315034722204</v>
      </c>
      <c r="W43" s="1" t="s">
        <v>51</v>
      </c>
      <c r="X43" t="s">
        <v>32</v>
      </c>
      <c r="Y43" s="1">
        <v>44936</v>
      </c>
      <c r="AA43" t="s">
        <v>336</v>
      </c>
      <c r="AB43" t="s">
        <v>1521</v>
      </c>
      <c r="AC43" t="str">
        <f>INDEX('DB Description'!$A$1:$B$23,MATCH(Tabela2[[#This Row],[Filial DB code]],'DB Description'!A:A,),2)</f>
        <v>MANTOMAC-CHA (213SCA)</v>
      </c>
      <c r="AD43" s="9">
        <f>Tabela2[[#This Row],[Issue2]]-Tabela2[[#This Row],[Failure2]]</f>
        <v>32</v>
      </c>
      <c r="AE43" t="str">
        <f t="shared" si="9"/>
        <v>FY2022</v>
      </c>
      <c r="AF43">
        <f>YEAR(Tabela2[[#This Row],[Issue2]])</f>
        <v>2023</v>
      </c>
    </row>
    <row r="44" spans="1:32" x14ac:dyDescent="0.35">
      <c r="A44" t="s">
        <v>580</v>
      </c>
      <c r="B44" t="s">
        <v>581</v>
      </c>
      <c r="C44" t="s">
        <v>348</v>
      </c>
      <c r="D44" t="s">
        <v>241</v>
      </c>
      <c r="E44" t="s">
        <v>1878</v>
      </c>
      <c r="F44" t="s">
        <v>681</v>
      </c>
      <c r="G44" t="s">
        <v>582</v>
      </c>
      <c r="I44">
        <v>13</v>
      </c>
      <c r="J44" t="s">
        <v>332</v>
      </c>
      <c r="K44" s="1">
        <v>44930</v>
      </c>
      <c r="L44" s="1"/>
      <c r="M44" s="1">
        <v>44859</v>
      </c>
      <c r="O44" s="1" t="s">
        <v>583</v>
      </c>
      <c r="P44" t="s">
        <v>584</v>
      </c>
      <c r="Q44" t="s">
        <v>42</v>
      </c>
      <c r="R44" t="s">
        <v>50</v>
      </c>
      <c r="S44" t="s">
        <v>45</v>
      </c>
      <c r="T44" t="s">
        <v>329</v>
      </c>
      <c r="U44" t="s">
        <v>30</v>
      </c>
      <c r="V44" s="1">
        <v>44937.738101851799</v>
      </c>
      <c r="W44" s="1" t="s">
        <v>46</v>
      </c>
      <c r="X44" t="s">
        <v>32</v>
      </c>
      <c r="Y44" s="1">
        <v>44937</v>
      </c>
      <c r="Z44" s="1" t="s">
        <v>585</v>
      </c>
      <c r="AA44" t="s">
        <v>543</v>
      </c>
      <c r="AB44" t="s">
        <v>1518</v>
      </c>
      <c r="AC44" t="str">
        <f>INDEX('DB Description'!$A$1:$B$23,MATCH(Tabela2[[#This Row],[Filial DB code]],'DB Description'!A:A,),2)</f>
        <v xml:space="preserve">Vianmaq </v>
      </c>
      <c r="AD44" s="9">
        <f>Tabela2[[#This Row],[Issue2]]-Tabela2[[#This Row],[Failure2]]</f>
        <v>7</v>
      </c>
      <c r="AE44" t="str">
        <f t="shared" si="9"/>
        <v>FY2022</v>
      </c>
      <c r="AF44">
        <f>YEAR(Tabela2[[#This Row],[Issue2]])</f>
        <v>2023</v>
      </c>
    </row>
    <row r="45" spans="1:32" x14ac:dyDescent="0.35">
      <c r="A45" t="s">
        <v>587</v>
      </c>
      <c r="B45" t="s">
        <v>588</v>
      </c>
      <c r="C45" t="s">
        <v>348</v>
      </c>
      <c r="D45" t="s">
        <v>589</v>
      </c>
      <c r="E45" t="s">
        <v>1873</v>
      </c>
      <c r="F45" t="s">
        <v>1924</v>
      </c>
      <c r="G45" t="s">
        <v>590</v>
      </c>
      <c r="I45">
        <v>17</v>
      </c>
      <c r="J45" t="s">
        <v>332</v>
      </c>
      <c r="K45" s="1">
        <v>44909</v>
      </c>
      <c r="L45" s="1">
        <v>44910</v>
      </c>
      <c r="M45" s="1">
        <v>44848</v>
      </c>
      <c r="O45" s="1" t="s">
        <v>591</v>
      </c>
      <c r="P45" t="s">
        <v>592</v>
      </c>
      <c r="Q45" t="s">
        <v>94</v>
      </c>
      <c r="R45" t="s">
        <v>50</v>
      </c>
      <c r="S45" t="s">
        <v>45</v>
      </c>
      <c r="T45" t="s">
        <v>329</v>
      </c>
      <c r="U45" t="s">
        <v>30</v>
      </c>
      <c r="V45" s="1">
        <v>44943.449791666702</v>
      </c>
      <c r="W45" s="1" t="s">
        <v>51</v>
      </c>
      <c r="X45" t="s">
        <v>32</v>
      </c>
      <c r="Y45" s="1">
        <v>44943</v>
      </c>
      <c r="AA45" t="s">
        <v>336</v>
      </c>
      <c r="AB45" t="s">
        <v>1521</v>
      </c>
      <c r="AC45" t="str">
        <f>INDEX('DB Description'!$A$1:$B$23,MATCH(Tabela2[[#This Row],[Filial DB code]],'DB Description'!A:A,),2)</f>
        <v>MANTOMAC-CHA (213SCA)</v>
      </c>
      <c r="AD45" s="9">
        <f>Tabela2[[#This Row],[Issue2]]-Tabela2[[#This Row],[Failure2]]</f>
        <v>34</v>
      </c>
      <c r="AE45" t="str">
        <f t="shared" si="9"/>
        <v>FY2022</v>
      </c>
      <c r="AF45">
        <f>YEAR(Tabela2[[#This Row],[Issue2]])</f>
        <v>2023</v>
      </c>
    </row>
    <row r="46" spans="1:32" x14ac:dyDescent="0.35">
      <c r="A46" t="s">
        <v>593</v>
      </c>
      <c r="B46" t="s">
        <v>594</v>
      </c>
      <c r="C46" t="s">
        <v>348</v>
      </c>
      <c r="D46" t="s">
        <v>525</v>
      </c>
      <c r="E46" t="s">
        <v>1847</v>
      </c>
      <c r="F46" t="s">
        <v>1883</v>
      </c>
      <c r="G46" t="str">
        <f>Tabela2[[#This Row],[Failed Part Name]]</f>
        <v>Muffler</v>
      </c>
      <c r="I46">
        <v>1606</v>
      </c>
      <c r="J46" t="s">
        <v>37</v>
      </c>
      <c r="K46" s="1">
        <v>44953</v>
      </c>
      <c r="L46" s="1">
        <v>44953</v>
      </c>
      <c r="M46" s="1">
        <v>44643</v>
      </c>
      <c r="N46" s="1">
        <v>44662</v>
      </c>
      <c r="O46" s="1" t="s">
        <v>244</v>
      </c>
      <c r="P46" t="s">
        <v>383</v>
      </c>
      <c r="Q46" t="s">
        <v>78</v>
      </c>
      <c r="R46" t="s">
        <v>50</v>
      </c>
      <c r="S46" t="s">
        <v>45</v>
      </c>
      <c r="U46" t="s">
        <v>38</v>
      </c>
      <c r="V46" s="1">
        <v>44953.373055555603</v>
      </c>
      <c r="W46" s="1" t="s">
        <v>53</v>
      </c>
      <c r="X46" t="s">
        <v>32</v>
      </c>
      <c r="Y46" s="1">
        <v>44953</v>
      </c>
      <c r="Z46" s="1" t="s">
        <v>595</v>
      </c>
      <c r="AA46" t="s">
        <v>528</v>
      </c>
      <c r="AB46" t="s">
        <v>1520</v>
      </c>
      <c r="AC46" t="str">
        <f>INDEX('DB Description'!$A$1:$B$23,MATCH(Tabela2[[#This Row],[Filial DB code]],'DB Description'!A:A,),2)</f>
        <v>Bauko</v>
      </c>
      <c r="AD46" s="9">
        <f>Tabela2[[#This Row],[Issue2]]-Tabela2[[#This Row],[Failure2]]</f>
        <v>0</v>
      </c>
      <c r="AE46" t="str">
        <f t="shared" ref="AE46:AE51" si="10">"FY"&amp;IF(MONTH(Y46)&gt;=4,YEAR(Y46),YEAR(Y46)-1)</f>
        <v>FY2022</v>
      </c>
      <c r="AF46">
        <f>YEAR(Tabela2[[#This Row],[Issue2]])</f>
        <v>2023</v>
      </c>
    </row>
    <row r="47" spans="1:32" x14ac:dyDescent="0.35">
      <c r="A47" t="s">
        <v>597</v>
      </c>
      <c r="B47" t="s">
        <v>598</v>
      </c>
      <c r="C47" t="s">
        <v>348</v>
      </c>
      <c r="D47" t="s">
        <v>262</v>
      </c>
      <c r="E47" t="s">
        <v>1895</v>
      </c>
      <c r="F47" t="s">
        <v>1875</v>
      </c>
      <c r="G47" t="s">
        <v>599</v>
      </c>
      <c r="I47">
        <v>116</v>
      </c>
      <c r="J47" t="s">
        <v>37</v>
      </c>
      <c r="K47" s="1">
        <v>44931</v>
      </c>
      <c r="L47" s="1">
        <v>44932</v>
      </c>
      <c r="M47" s="1">
        <v>44817</v>
      </c>
      <c r="N47" s="1">
        <v>44882</v>
      </c>
      <c r="O47" s="1" t="s">
        <v>121</v>
      </c>
      <c r="P47" t="s">
        <v>212</v>
      </c>
      <c r="Q47" t="s">
        <v>91</v>
      </c>
      <c r="R47" t="s">
        <v>304</v>
      </c>
      <c r="S47" t="s">
        <v>45</v>
      </c>
      <c r="U47" t="s">
        <v>38</v>
      </c>
      <c r="V47" s="1">
        <v>44956.561319444401</v>
      </c>
      <c r="W47" s="1" t="s">
        <v>51</v>
      </c>
      <c r="X47" t="s">
        <v>32</v>
      </c>
      <c r="Y47" s="1">
        <v>44959</v>
      </c>
      <c r="Z47" s="1" t="s">
        <v>600</v>
      </c>
      <c r="AA47" t="s">
        <v>336</v>
      </c>
      <c r="AB47" t="s">
        <v>1521</v>
      </c>
      <c r="AC47" t="str">
        <f>INDEX('DB Description'!$A$1:$B$23,MATCH(Tabela2[[#This Row],[Filial DB code]],'DB Description'!A:A,),2)</f>
        <v>MANTOMAC-CHA (213SCA)</v>
      </c>
      <c r="AD47" s="9">
        <f>Tabela2[[#This Row],[Issue2]]-Tabela2[[#This Row],[Failure2]]</f>
        <v>28</v>
      </c>
      <c r="AE47" t="str">
        <f t="shared" si="10"/>
        <v>FY2022</v>
      </c>
      <c r="AF47">
        <f>YEAR(Tabela2[[#This Row],[Issue2]])</f>
        <v>2023</v>
      </c>
    </row>
    <row r="48" spans="1:32" x14ac:dyDescent="0.35">
      <c r="A48" t="s">
        <v>601</v>
      </c>
      <c r="B48" t="s">
        <v>602</v>
      </c>
      <c r="C48" t="s">
        <v>348</v>
      </c>
      <c r="D48" t="s">
        <v>228</v>
      </c>
      <c r="E48" t="s">
        <v>1873</v>
      </c>
      <c r="F48" t="s">
        <v>1924</v>
      </c>
      <c r="G48" t="s">
        <v>436</v>
      </c>
      <c r="H48" t="s">
        <v>603</v>
      </c>
      <c r="I48">
        <v>219</v>
      </c>
      <c r="J48" t="s">
        <v>332</v>
      </c>
      <c r="K48" s="1">
        <v>44957</v>
      </c>
      <c r="L48" s="1"/>
      <c r="M48" s="1">
        <v>44816</v>
      </c>
      <c r="N48" s="1">
        <v>44837</v>
      </c>
      <c r="O48" s="1" t="s">
        <v>437</v>
      </c>
      <c r="P48" t="s">
        <v>137</v>
      </c>
      <c r="Q48" t="s">
        <v>94</v>
      </c>
      <c r="R48" t="s">
        <v>40</v>
      </c>
      <c r="S48" t="s">
        <v>45</v>
      </c>
      <c r="T48" t="s">
        <v>329</v>
      </c>
      <c r="U48" t="s">
        <v>30</v>
      </c>
      <c r="V48" s="1">
        <v>44960.729201388902</v>
      </c>
      <c r="W48" s="1" t="s">
        <v>51</v>
      </c>
      <c r="X48" t="s">
        <v>32</v>
      </c>
      <c r="Y48" s="1">
        <v>44960</v>
      </c>
      <c r="Z48" s="1" t="s">
        <v>402</v>
      </c>
      <c r="AA48" t="s">
        <v>337</v>
      </c>
      <c r="AB48" t="s">
        <v>1519</v>
      </c>
      <c r="AC48" t="str">
        <f>INDEX('DB Description'!$A$1:$B$23,MATCH(Tabela2[[#This Row],[Filial DB code]],'DB Description'!A:A,),2)</f>
        <v>MANTOMAC-CHA (213SCA)</v>
      </c>
      <c r="AD48" s="9">
        <f>Tabela2[[#This Row],[Issue2]]-Tabela2[[#This Row],[Failure2]]</f>
        <v>3</v>
      </c>
      <c r="AE48" t="str">
        <f t="shared" si="10"/>
        <v>FY2022</v>
      </c>
      <c r="AF48">
        <f>YEAR(Tabela2[[#This Row],[Issue2]])</f>
        <v>2023</v>
      </c>
    </row>
    <row r="49" spans="1:32" x14ac:dyDescent="0.35">
      <c r="A49" t="s">
        <v>604</v>
      </c>
      <c r="B49" t="s">
        <v>605</v>
      </c>
      <c r="C49" t="s">
        <v>348</v>
      </c>
      <c r="D49" t="s">
        <v>606</v>
      </c>
      <c r="E49" t="s">
        <v>1878</v>
      </c>
      <c r="F49" t="s">
        <v>681</v>
      </c>
      <c r="G49" t="s">
        <v>607</v>
      </c>
      <c r="I49">
        <v>3.9</v>
      </c>
      <c r="J49" t="s">
        <v>332</v>
      </c>
      <c r="K49" s="1">
        <v>44937</v>
      </c>
      <c r="L49" s="1"/>
      <c r="M49" s="1">
        <v>44865</v>
      </c>
      <c r="O49" s="1" t="s">
        <v>608</v>
      </c>
      <c r="P49" t="s">
        <v>102</v>
      </c>
      <c r="Q49" t="s">
        <v>204</v>
      </c>
      <c r="R49" t="s">
        <v>229</v>
      </c>
      <c r="S49" t="s">
        <v>45</v>
      </c>
      <c r="T49" t="s">
        <v>329</v>
      </c>
      <c r="U49" t="s">
        <v>30</v>
      </c>
      <c r="V49" s="1">
        <v>44963.4527662037</v>
      </c>
      <c r="W49" s="1" t="s">
        <v>64</v>
      </c>
      <c r="X49" t="s">
        <v>32</v>
      </c>
      <c r="Y49" s="1">
        <v>44963</v>
      </c>
      <c r="Z49" s="1" t="s">
        <v>609</v>
      </c>
      <c r="AA49" t="s">
        <v>344</v>
      </c>
      <c r="AB49" t="s">
        <v>1522</v>
      </c>
      <c r="AC49" t="str">
        <f>INDEX('DB Description'!$A$1:$B$23,MATCH(Tabela2[[#This Row],[Filial DB code]],'DB Description'!A:A,),2)</f>
        <v>Mason</v>
      </c>
      <c r="AD49" s="9">
        <f>Tabela2[[#This Row],[Issue2]]-Tabela2[[#This Row],[Failure2]]</f>
        <v>26</v>
      </c>
      <c r="AE49" t="str">
        <f t="shared" si="10"/>
        <v>FY2022</v>
      </c>
      <c r="AF49">
        <f>YEAR(Tabela2[[#This Row],[Issue2]])</f>
        <v>2023</v>
      </c>
    </row>
    <row r="50" spans="1:32" x14ac:dyDescent="0.35">
      <c r="A50" t="s">
        <v>610</v>
      </c>
      <c r="B50" t="s">
        <v>594</v>
      </c>
      <c r="C50" t="s">
        <v>348</v>
      </c>
      <c r="D50" t="s">
        <v>611</v>
      </c>
      <c r="E50" t="s">
        <v>1847</v>
      </c>
      <c r="F50" t="s">
        <v>1883</v>
      </c>
      <c r="G50" t="str">
        <f>Tabela2[[#This Row],[Failed Part Name]]</f>
        <v>Muffler</v>
      </c>
      <c r="I50">
        <v>10556</v>
      </c>
      <c r="J50" t="s">
        <v>332</v>
      </c>
      <c r="K50" s="1">
        <v>44966</v>
      </c>
      <c r="L50" s="1"/>
      <c r="M50" s="1">
        <v>44701</v>
      </c>
      <c r="N50" s="1">
        <v>44774</v>
      </c>
      <c r="O50" s="1" t="s">
        <v>244</v>
      </c>
      <c r="P50" t="s">
        <v>383</v>
      </c>
      <c r="Q50" t="s">
        <v>78</v>
      </c>
      <c r="R50" t="s">
        <v>50</v>
      </c>
      <c r="S50" t="s">
        <v>45</v>
      </c>
      <c r="T50" t="s">
        <v>329</v>
      </c>
      <c r="U50" t="s">
        <v>30</v>
      </c>
      <c r="V50" s="1">
        <v>44967.345300925903</v>
      </c>
      <c r="W50" s="1" t="s">
        <v>53</v>
      </c>
      <c r="X50" t="s">
        <v>32</v>
      </c>
      <c r="Y50" s="1">
        <v>44967</v>
      </c>
      <c r="Z50" s="1" t="s">
        <v>612</v>
      </c>
      <c r="AA50" t="s">
        <v>528</v>
      </c>
      <c r="AB50" t="s">
        <v>1520</v>
      </c>
      <c r="AC50" t="str">
        <f>INDEX('DB Description'!$A$1:$B$23,MATCH(Tabela2[[#This Row],[Filial DB code]],'DB Description'!A:A,),2)</f>
        <v>Bauko</v>
      </c>
      <c r="AD50" s="9">
        <f>Tabela2[[#This Row],[Issue2]]-Tabela2[[#This Row],[Failure2]]</f>
        <v>1</v>
      </c>
      <c r="AE50" t="str">
        <f t="shared" si="10"/>
        <v>FY2022</v>
      </c>
      <c r="AF50">
        <f>YEAR(Tabela2[[#This Row],[Issue2]])</f>
        <v>2023</v>
      </c>
    </row>
    <row r="51" spans="1:32" x14ac:dyDescent="0.35">
      <c r="A51" t="s">
        <v>614</v>
      </c>
      <c r="B51" t="s">
        <v>615</v>
      </c>
      <c r="C51" t="s">
        <v>348</v>
      </c>
      <c r="D51" t="s">
        <v>270</v>
      </c>
      <c r="E51" t="s">
        <v>1866</v>
      </c>
      <c r="F51" t="s">
        <v>1898</v>
      </c>
      <c r="G51" t="s">
        <v>616</v>
      </c>
      <c r="I51">
        <v>516</v>
      </c>
      <c r="J51" t="s">
        <v>37</v>
      </c>
      <c r="K51" s="1">
        <v>44970</v>
      </c>
      <c r="L51" s="1"/>
      <c r="M51" s="1">
        <v>44761</v>
      </c>
      <c r="O51" s="1" t="s">
        <v>186</v>
      </c>
      <c r="P51" t="s">
        <v>110</v>
      </c>
      <c r="Q51" t="s">
        <v>258</v>
      </c>
      <c r="R51" t="s">
        <v>193</v>
      </c>
      <c r="S51" t="s">
        <v>45</v>
      </c>
      <c r="U51" t="s">
        <v>38</v>
      </c>
      <c r="V51" s="1">
        <v>44973.587685185201</v>
      </c>
      <c r="W51" s="1" t="s">
        <v>53</v>
      </c>
      <c r="X51" t="s">
        <v>32</v>
      </c>
      <c r="Y51" s="1">
        <v>44973</v>
      </c>
      <c r="AA51" t="s">
        <v>403</v>
      </c>
      <c r="AB51" t="s">
        <v>1512</v>
      </c>
      <c r="AC51" t="str">
        <f>INDEX('DB Description'!$A$1:$B$23,MATCH(Tabela2[[#This Row],[Filial DB code]],'DB Description'!A:A,),2)</f>
        <v>Bauko</v>
      </c>
      <c r="AD51" s="9">
        <f>Tabela2[[#This Row],[Issue2]]-Tabela2[[#This Row],[Failure2]]</f>
        <v>3</v>
      </c>
      <c r="AE51" t="str">
        <f t="shared" si="10"/>
        <v>FY2022</v>
      </c>
      <c r="AF51">
        <f>YEAR(Tabela2[[#This Row],[Issue2]])</f>
        <v>2023</v>
      </c>
    </row>
    <row r="52" spans="1:32" x14ac:dyDescent="0.35">
      <c r="A52" t="s">
        <v>617</v>
      </c>
      <c r="B52" t="s">
        <v>618</v>
      </c>
      <c r="C52" t="s">
        <v>348</v>
      </c>
      <c r="D52" t="s">
        <v>300</v>
      </c>
      <c r="E52" t="s">
        <v>1895</v>
      </c>
      <c r="F52" t="s">
        <v>1875</v>
      </c>
      <c r="G52" t="s">
        <v>619</v>
      </c>
      <c r="I52">
        <v>882</v>
      </c>
      <c r="J52" t="s">
        <v>37</v>
      </c>
      <c r="K52" s="1">
        <v>44986</v>
      </c>
      <c r="L52" s="1">
        <v>44980</v>
      </c>
      <c r="M52" s="1">
        <v>44669</v>
      </c>
      <c r="N52" s="1">
        <v>44775</v>
      </c>
      <c r="O52" s="1" t="s">
        <v>620</v>
      </c>
      <c r="P52" t="s">
        <v>191</v>
      </c>
      <c r="Q52" t="s">
        <v>204</v>
      </c>
      <c r="R52" t="s">
        <v>193</v>
      </c>
      <c r="S52" t="s">
        <v>45</v>
      </c>
      <c r="U52" t="s">
        <v>38</v>
      </c>
      <c r="V52" s="1">
        <v>44986.489166666703</v>
      </c>
      <c r="W52" s="1" t="s">
        <v>46</v>
      </c>
      <c r="X52" t="s">
        <v>32</v>
      </c>
      <c r="Y52" s="1">
        <v>44986</v>
      </c>
      <c r="Z52" s="1" t="s">
        <v>621</v>
      </c>
      <c r="AA52" t="s">
        <v>543</v>
      </c>
      <c r="AB52" t="s">
        <v>1518</v>
      </c>
      <c r="AC52" t="str">
        <f>INDEX('DB Description'!$A$1:$B$23,MATCH(Tabela2[[#This Row],[Filial DB code]],'DB Description'!A:A,),2)</f>
        <v xml:space="preserve">Vianmaq </v>
      </c>
      <c r="AD52" s="9">
        <f>Tabela2[[#This Row],[Issue2]]-Tabela2[[#This Row],[Failure2]]</f>
        <v>0</v>
      </c>
      <c r="AE52" t="str">
        <f t="shared" ref="AE52:AE58" si="11">"FY"&amp;IF(MONTH(Y52)&gt;=4,YEAR(Y52),YEAR(Y52)-1)</f>
        <v>FY2022</v>
      </c>
      <c r="AF52">
        <f>YEAR(Tabela2[[#This Row],[Issue2]])</f>
        <v>2023</v>
      </c>
    </row>
    <row r="53" spans="1:32" x14ac:dyDescent="0.35">
      <c r="A53" t="s">
        <v>625</v>
      </c>
      <c r="B53" t="s">
        <v>626</v>
      </c>
      <c r="C53" t="s">
        <v>348</v>
      </c>
      <c r="D53" t="s">
        <v>272</v>
      </c>
      <c r="E53" t="s">
        <v>1965</v>
      </c>
      <c r="G53" t="s">
        <v>627</v>
      </c>
      <c r="I53">
        <v>45</v>
      </c>
      <c r="J53" t="s">
        <v>37</v>
      </c>
      <c r="K53" s="1">
        <v>44911</v>
      </c>
      <c r="L53" s="1">
        <v>44981</v>
      </c>
      <c r="M53" s="1">
        <v>44768</v>
      </c>
      <c r="N53" s="1">
        <v>44886</v>
      </c>
      <c r="O53" s="1" t="s">
        <v>628</v>
      </c>
      <c r="P53" t="s">
        <v>629</v>
      </c>
      <c r="Q53" t="s">
        <v>278</v>
      </c>
      <c r="R53" t="s">
        <v>50</v>
      </c>
      <c r="S53" t="s">
        <v>45</v>
      </c>
      <c r="U53" t="s">
        <v>38</v>
      </c>
      <c r="V53" s="1">
        <v>44991.532453703701</v>
      </c>
      <c r="W53" s="1" t="s">
        <v>51</v>
      </c>
      <c r="X53" t="s">
        <v>32</v>
      </c>
      <c r="Y53" s="1">
        <v>44991</v>
      </c>
      <c r="Z53" s="1" t="s">
        <v>630</v>
      </c>
      <c r="AA53" t="s">
        <v>337</v>
      </c>
      <c r="AB53" t="s">
        <v>1519</v>
      </c>
      <c r="AC53" t="str">
        <f>INDEX('DB Description'!$A$1:$B$23,MATCH(Tabela2[[#This Row],[Filial DB code]],'DB Description'!A:A,),2)</f>
        <v>MANTOMAC-CHA (213SCA)</v>
      </c>
      <c r="AD53" s="9">
        <f>Tabela2[[#This Row],[Issue2]]-Tabela2[[#This Row],[Failure2]]</f>
        <v>80</v>
      </c>
      <c r="AE53" t="str">
        <f t="shared" si="11"/>
        <v>FY2022</v>
      </c>
      <c r="AF53">
        <f>YEAR(Tabela2[[#This Row],[Issue2]])</f>
        <v>2023</v>
      </c>
    </row>
    <row r="54" spans="1:32" x14ac:dyDescent="0.35">
      <c r="A54" t="s">
        <v>622</v>
      </c>
      <c r="B54" t="s">
        <v>623</v>
      </c>
      <c r="C54" t="s">
        <v>348</v>
      </c>
      <c r="D54" t="s">
        <v>611</v>
      </c>
      <c r="E54" t="s">
        <v>1866</v>
      </c>
      <c r="F54" t="s">
        <v>1898</v>
      </c>
      <c r="G54" t="str">
        <f>Tabela2[[#This Row],[Failed Part Name]]</f>
        <v>Controller</v>
      </c>
      <c r="I54">
        <v>1148</v>
      </c>
      <c r="J54" t="s">
        <v>332</v>
      </c>
      <c r="K54" s="1">
        <v>44984</v>
      </c>
      <c r="L54" s="1">
        <v>44984</v>
      </c>
      <c r="M54" s="1">
        <v>44701</v>
      </c>
      <c r="N54" s="1">
        <v>44774</v>
      </c>
      <c r="O54" s="1" t="s">
        <v>624</v>
      </c>
      <c r="P54" t="s">
        <v>233</v>
      </c>
      <c r="Q54" t="s">
        <v>258</v>
      </c>
      <c r="R54" t="s">
        <v>50</v>
      </c>
      <c r="S54" t="s">
        <v>45</v>
      </c>
      <c r="T54" t="s">
        <v>329</v>
      </c>
      <c r="U54" t="s">
        <v>30</v>
      </c>
      <c r="V54" s="1">
        <v>44991.6933796296</v>
      </c>
      <c r="W54" s="1" t="s">
        <v>53</v>
      </c>
      <c r="X54" t="s">
        <v>32</v>
      </c>
      <c r="Y54" s="1">
        <v>44991</v>
      </c>
      <c r="AA54" t="s">
        <v>328</v>
      </c>
      <c r="AB54" t="s">
        <v>1520</v>
      </c>
      <c r="AC54" t="str">
        <f>INDEX('DB Description'!$A$1:$B$23,MATCH(Tabela2[[#This Row],[Filial DB code]],'DB Description'!A:A,),2)</f>
        <v>Bauko</v>
      </c>
      <c r="AD54" s="9">
        <f>Tabela2[[#This Row],[Issue2]]-Tabela2[[#This Row],[Failure2]]</f>
        <v>7</v>
      </c>
      <c r="AE54" t="str">
        <f t="shared" si="11"/>
        <v>FY2022</v>
      </c>
      <c r="AF54">
        <f>YEAR(Tabela2[[#This Row],[Issue2]])</f>
        <v>2023</v>
      </c>
    </row>
    <row r="55" spans="1:32" x14ac:dyDescent="0.35">
      <c r="A55" t="s">
        <v>631</v>
      </c>
      <c r="B55" t="s">
        <v>632</v>
      </c>
      <c r="C55" t="s">
        <v>348</v>
      </c>
      <c r="D55" t="s">
        <v>633</v>
      </c>
      <c r="G55" t="s">
        <v>634</v>
      </c>
      <c r="I55">
        <v>5</v>
      </c>
      <c r="J55" t="s">
        <v>154</v>
      </c>
      <c r="K55" s="1">
        <v>44984</v>
      </c>
      <c r="L55" s="1"/>
      <c r="M55" s="1">
        <v>44876</v>
      </c>
      <c r="O55" s="1" t="s">
        <v>564</v>
      </c>
      <c r="P55" t="s">
        <v>178</v>
      </c>
      <c r="Q55" t="s">
        <v>204</v>
      </c>
      <c r="R55" t="s">
        <v>193</v>
      </c>
      <c r="S55" t="s">
        <v>45</v>
      </c>
      <c r="T55" t="s">
        <v>340</v>
      </c>
      <c r="U55" t="s">
        <v>30</v>
      </c>
      <c r="V55" s="1">
        <v>44992.443946759297</v>
      </c>
      <c r="W55" s="1" t="s">
        <v>51</v>
      </c>
      <c r="X55" t="s">
        <v>32</v>
      </c>
      <c r="Y55" s="1">
        <v>44992</v>
      </c>
      <c r="AA55" t="s">
        <v>337</v>
      </c>
      <c r="AB55" t="s">
        <v>1519</v>
      </c>
      <c r="AC55" t="str">
        <f>INDEX('DB Description'!$A$1:$B$23,MATCH(Tabela2[[#This Row],[Filial DB code]],'DB Description'!A:A,),2)</f>
        <v>MANTOMAC-CHA (213SCA)</v>
      </c>
      <c r="AD55" s="9">
        <f>Tabela2[[#This Row],[Issue2]]-Tabela2[[#This Row],[Failure2]]</f>
        <v>8</v>
      </c>
      <c r="AE55" t="str">
        <f t="shared" si="11"/>
        <v>FY2022</v>
      </c>
      <c r="AF55">
        <f>YEAR(Tabela2[[#This Row],[Issue2]])</f>
        <v>2023</v>
      </c>
    </row>
    <row r="56" spans="1:32" x14ac:dyDescent="0.35">
      <c r="A56" t="s">
        <v>640</v>
      </c>
      <c r="B56" t="s">
        <v>602</v>
      </c>
      <c r="C56" t="s">
        <v>348</v>
      </c>
      <c r="D56" t="s">
        <v>234</v>
      </c>
      <c r="E56" t="s">
        <v>1873</v>
      </c>
      <c r="F56" t="s">
        <v>1924</v>
      </c>
      <c r="G56" t="s">
        <v>436</v>
      </c>
      <c r="I56">
        <v>326</v>
      </c>
      <c r="J56" t="s">
        <v>37</v>
      </c>
      <c r="K56" s="1">
        <v>45005</v>
      </c>
      <c r="L56" s="1"/>
      <c r="M56" s="1">
        <v>44830</v>
      </c>
      <c r="N56" s="1">
        <v>44915</v>
      </c>
      <c r="O56" s="1" t="s">
        <v>437</v>
      </c>
      <c r="P56" t="s">
        <v>137</v>
      </c>
      <c r="Q56" t="s">
        <v>94</v>
      </c>
      <c r="R56" t="s">
        <v>40</v>
      </c>
      <c r="S56" t="s">
        <v>45</v>
      </c>
      <c r="U56" t="s">
        <v>38</v>
      </c>
      <c r="V56" s="1">
        <v>45008.470752314803</v>
      </c>
      <c r="W56" s="1" t="s">
        <v>51</v>
      </c>
      <c r="X56" t="s">
        <v>32</v>
      </c>
      <c r="Y56" s="1">
        <v>45008</v>
      </c>
      <c r="Z56" s="1" t="s">
        <v>641</v>
      </c>
      <c r="AA56" t="s">
        <v>337</v>
      </c>
      <c r="AB56" t="s">
        <v>1519</v>
      </c>
      <c r="AC56" t="str">
        <f>INDEX('DB Description'!$A$1:$B$23,MATCH(Tabela2[[#This Row],[Filial DB code]],'DB Description'!A:A,),2)</f>
        <v>MANTOMAC-CHA (213SCA)</v>
      </c>
      <c r="AD56" s="9">
        <f>Tabela2[[#This Row],[Issue2]]-Tabela2[[#This Row],[Failure2]]</f>
        <v>3</v>
      </c>
      <c r="AE56" t="str">
        <f t="shared" si="11"/>
        <v>FY2022</v>
      </c>
      <c r="AF56">
        <f>YEAR(Tabela2[[#This Row],[Issue2]])</f>
        <v>2023</v>
      </c>
    </row>
    <row r="57" spans="1:32" x14ac:dyDescent="0.35">
      <c r="A57" t="s">
        <v>636</v>
      </c>
      <c r="B57" t="s">
        <v>637</v>
      </c>
      <c r="C57" t="s">
        <v>348</v>
      </c>
      <c r="D57" t="s">
        <v>292</v>
      </c>
      <c r="G57" t="s">
        <v>638</v>
      </c>
      <c r="I57">
        <v>655</v>
      </c>
      <c r="J57" t="s">
        <v>37</v>
      </c>
      <c r="K57" s="1">
        <v>45002</v>
      </c>
      <c r="L57" s="1">
        <v>45005</v>
      </c>
      <c r="M57" s="1">
        <v>44788</v>
      </c>
      <c r="N57" s="1">
        <v>44911</v>
      </c>
      <c r="O57" s="1" t="s">
        <v>521</v>
      </c>
      <c r="P57" t="s">
        <v>80</v>
      </c>
      <c r="Q57" t="s">
        <v>91</v>
      </c>
      <c r="R57" t="s">
        <v>40</v>
      </c>
      <c r="S57" t="s">
        <v>45</v>
      </c>
      <c r="U57" t="s">
        <v>38</v>
      </c>
      <c r="V57" s="1">
        <v>45008.596064814803</v>
      </c>
      <c r="W57" s="1" t="s">
        <v>51</v>
      </c>
      <c r="X57" t="s">
        <v>32</v>
      </c>
      <c r="Y57" s="1">
        <v>45008</v>
      </c>
      <c r="Z57" s="1" t="s">
        <v>639</v>
      </c>
      <c r="AA57" t="s">
        <v>337</v>
      </c>
      <c r="AB57" t="s">
        <v>1519</v>
      </c>
      <c r="AC57" t="str">
        <f>INDEX('DB Description'!$A$1:$B$23,MATCH(Tabela2[[#This Row],[Filial DB code]],'DB Description'!A:A,),2)</f>
        <v>MANTOMAC-CHA (213SCA)</v>
      </c>
      <c r="AD57" s="9">
        <f>Tabela2[[#This Row],[Issue2]]-Tabela2[[#This Row],[Failure2]]</f>
        <v>6</v>
      </c>
      <c r="AE57" t="str">
        <f t="shared" si="11"/>
        <v>FY2022</v>
      </c>
      <c r="AF57">
        <f>YEAR(Tabela2[[#This Row],[Issue2]])</f>
        <v>2023</v>
      </c>
    </row>
    <row r="58" spans="1:32" x14ac:dyDescent="0.35">
      <c r="A58" t="s">
        <v>643</v>
      </c>
      <c r="B58" t="s">
        <v>644</v>
      </c>
      <c r="C58" t="s">
        <v>348</v>
      </c>
      <c r="D58" t="s">
        <v>147</v>
      </c>
      <c r="G58" t="s">
        <v>645</v>
      </c>
      <c r="I58">
        <v>2179</v>
      </c>
      <c r="J58" t="s">
        <v>332</v>
      </c>
      <c r="K58" s="1">
        <v>45014</v>
      </c>
      <c r="L58" s="1"/>
      <c r="M58" s="1">
        <v>44641</v>
      </c>
      <c r="N58" s="1">
        <v>44663</v>
      </c>
      <c r="O58" s="1" t="s">
        <v>564</v>
      </c>
      <c r="P58" t="s">
        <v>646</v>
      </c>
      <c r="Q58" t="s">
        <v>66</v>
      </c>
      <c r="R58" t="s">
        <v>40</v>
      </c>
      <c r="S58" t="s">
        <v>45</v>
      </c>
      <c r="T58" t="s">
        <v>329</v>
      </c>
      <c r="U58" t="s">
        <v>30</v>
      </c>
      <c r="V58" s="1">
        <v>45014.741527777798</v>
      </c>
      <c r="W58" s="1" t="s">
        <v>51</v>
      </c>
      <c r="X58" t="s">
        <v>32</v>
      </c>
      <c r="Y58" s="1">
        <v>45014</v>
      </c>
      <c r="Z58" s="1" t="s">
        <v>647</v>
      </c>
      <c r="AA58" t="s">
        <v>337</v>
      </c>
      <c r="AB58" t="s">
        <v>1519</v>
      </c>
      <c r="AC58" t="str">
        <f>INDEX('DB Description'!$A$1:$B$23,MATCH(Tabela2[[#This Row],[Filial DB code]],'DB Description'!A:A,),2)</f>
        <v>MANTOMAC-CHA (213SCA)</v>
      </c>
      <c r="AD58" s="9">
        <f>Tabela2[[#This Row],[Issue2]]-Tabela2[[#This Row],[Failure2]]</f>
        <v>0</v>
      </c>
      <c r="AE58" t="str">
        <f t="shared" si="11"/>
        <v>FY2022</v>
      </c>
      <c r="AF58">
        <f>YEAR(Tabela2[[#This Row],[Issue2]])</f>
        <v>2023</v>
      </c>
    </row>
    <row r="59" spans="1:32" x14ac:dyDescent="0.35">
      <c r="A59" t="s">
        <v>649</v>
      </c>
      <c r="B59" t="s">
        <v>650</v>
      </c>
      <c r="C59" t="s">
        <v>348</v>
      </c>
      <c r="D59" t="s">
        <v>651</v>
      </c>
      <c r="E59" t="s">
        <v>1866</v>
      </c>
      <c r="F59" t="s">
        <v>1898</v>
      </c>
      <c r="G59" t="str">
        <f>Tabela2[[#This Row],[Failed Part Name]]</f>
        <v>controller</v>
      </c>
      <c r="I59">
        <v>4</v>
      </c>
      <c r="J59" t="s">
        <v>37</v>
      </c>
      <c r="K59" s="1">
        <v>45013</v>
      </c>
      <c r="L59" s="1"/>
      <c r="M59" s="1">
        <v>44894</v>
      </c>
      <c r="O59" s="1" t="s">
        <v>624</v>
      </c>
      <c r="P59" t="s">
        <v>259</v>
      </c>
      <c r="Q59" t="s">
        <v>258</v>
      </c>
      <c r="R59" t="s">
        <v>193</v>
      </c>
      <c r="S59" t="s">
        <v>45</v>
      </c>
      <c r="U59" t="s">
        <v>38</v>
      </c>
      <c r="V59" s="1">
        <v>45025.558541666702</v>
      </c>
      <c r="W59" s="1" t="s">
        <v>53</v>
      </c>
      <c r="X59" t="s">
        <v>32</v>
      </c>
      <c r="Y59" s="1">
        <v>45025</v>
      </c>
      <c r="AA59" t="s">
        <v>328</v>
      </c>
      <c r="AB59" t="s">
        <v>1520</v>
      </c>
      <c r="AC59" t="str">
        <f>INDEX('DB Description'!$A$1:$B$23,MATCH(Tabela2[[#This Row],[Filial DB code]],'DB Description'!A:A,),2)</f>
        <v>Bauko</v>
      </c>
      <c r="AD59" s="9">
        <f>Tabela2[[#This Row],[Issue2]]-Tabela2[[#This Row],[Failure2]]</f>
        <v>12</v>
      </c>
      <c r="AE59" t="str">
        <f t="shared" ref="AE59:AE66" si="12">"FY"&amp;IF(MONTH(Y59)&gt;=4,YEAR(Y59),YEAR(Y59)-1)</f>
        <v>FY2023</v>
      </c>
      <c r="AF59">
        <f>YEAR(Tabela2[[#This Row],[Issue2]])</f>
        <v>2023</v>
      </c>
    </row>
    <row r="60" spans="1:32" x14ac:dyDescent="0.35">
      <c r="A60" t="s">
        <v>652</v>
      </c>
      <c r="B60" t="s">
        <v>653</v>
      </c>
      <c r="C60" t="s">
        <v>348</v>
      </c>
      <c r="D60" t="s">
        <v>177</v>
      </c>
      <c r="E60" t="s">
        <v>1901</v>
      </c>
      <c r="F60" t="s">
        <v>1922</v>
      </c>
      <c r="G60" t="s">
        <v>654</v>
      </c>
      <c r="I60">
        <v>850</v>
      </c>
      <c r="J60" t="s">
        <v>37</v>
      </c>
      <c r="K60" s="1">
        <v>45016</v>
      </c>
      <c r="L60" s="1"/>
      <c r="M60" s="1">
        <v>44762</v>
      </c>
      <c r="N60" s="1">
        <v>44797</v>
      </c>
      <c r="O60" s="1" t="s">
        <v>655</v>
      </c>
      <c r="P60" t="s">
        <v>656</v>
      </c>
      <c r="Q60" t="s">
        <v>204</v>
      </c>
      <c r="R60" t="s">
        <v>193</v>
      </c>
      <c r="S60" t="s">
        <v>45</v>
      </c>
      <c r="U60" t="s">
        <v>38</v>
      </c>
      <c r="V60" s="1">
        <v>45026.557592592602</v>
      </c>
      <c r="W60" s="1" t="s">
        <v>53</v>
      </c>
      <c r="X60" t="s">
        <v>32</v>
      </c>
      <c r="Y60" s="1">
        <v>45026</v>
      </c>
      <c r="AA60" t="s">
        <v>403</v>
      </c>
      <c r="AB60" t="s">
        <v>1512</v>
      </c>
      <c r="AC60" t="str">
        <f>INDEX('DB Description'!$A$1:$B$23,MATCH(Tabela2[[#This Row],[Filial DB code]],'DB Description'!A:A,),2)</f>
        <v>Bauko</v>
      </c>
      <c r="AD60" s="9">
        <f>Tabela2[[#This Row],[Issue2]]-Tabela2[[#This Row],[Failure2]]</f>
        <v>10</v>
      </c>
      <c r="AE60" t="str">
        <f t="shared" si="12"/>
        <v>FY2023</v>
      </c>
      <c r="AF60">
        <f>YEAR(Tabela2[[#This Row],[Issue2]])</f>
        <v>2023</v>
      </c>
    </row>
    <row r="61" spans="1:32" x14ac:dyDescent="0.35">
      <c r="A61" t="s">
        <v>657</v>
      </c>
      <c r="B61" t="s">
        <v>594</v>
      </c>
      <c r="C61" t="s">
        <v>348</v>
      </c>
      <c r="D61" t="s">
        <v>658</v>
      </c>
      <c r="E61" t="s">
        <v>1847</v>
      </c>
      <c r="F61" t="s">
        <v>1883</v>
      </c>
      <c r="G61" t="str">
        <f>Tabela2[[#This Row],[Failed Part Name]]</f>
        <v>Muffler</v>
      </c>
      <c r="I61">
        <v>1063</v>
      </c>
      <c r="J61" t="s">
        <v>37</v>
      </c>
      <c r="K61" s="1">
        <v>44965</v>
      </c>
      <c r="L61" s="1">
        <v>44966</v>
      </c>
      <c r="M61" s="1">
        <v>44650</v>
      </c>
      <c r="N61" s="1">
        <v>44781</v>
      </c>
      <c r="O61" s="1" t="s">
        <v>244</v>
      </c>
      <c r="P61" t="s">
        <v>383</v>
      </c>
      <c r="Q61" t="s">
        <v>78</v>
      </c>
      <c r="R61" t="s">
        <v>50</v>
      </c>
      <c r="S61" t="s">
        <v>45</v>
      </c>
      <c r="U61" t="s">
        <v>38</v>
      </c>
      <c r="V61" s="1">
        <v>44966.3682638889</v>
      </c>
      <c r="W61" s="1" t="s">
        <v>53</v>
      </c>
      <c r="X61" t="s">
        <v>32</v>
      </c>
      <c r="Y61" s="1">
        <v>45027</v>
      </c>
      <c r="Z61" s="1" t="s">
        <v>595</v>
      </c>
      <c r="AA61" t="s">
        <v>528</v>
      </c>
      <c r="AB61" t="s">
        <v>1520</v>
      </c>
      <c r="AC61" t="str">
        <f>INDEX('DB Description'!$A$1:$B$23,MATCH(Tabela2[[#This Row],[Filial DB code]],'DB Description'!A:A,),2)</f>
        <v>Bauko</v>
      </c>
      <c r="AD61" s="9">
        <f>Tabela2[[#This Row],[Issue2]]-Tabela2[[#This Row],[Failure2]]</f>
        <v>62</v>
      </c>
      <c r="AE61" t="str">
        <f t="shared" si="12"/>
        <v>FY2023</v>
      </c>
      <c r="AF61">
        <f>YEAR(Tabela2[[#This Row],[Issue2]])</f>
        <v>2023</v>
      </c>
    </row>
    <row r="62" spans="1:32" x14ac:dyDescent="0.35">
      <c r="A62" t="s">
        <v>659</v>
      </c>
      <c r="B62" t="s">
        <v>660</v>
      </c>
      <c r="C62" t="s">
        <v>348</v>
      </c>
      <c r="D62" t="s">
        <v>167</v>
      </c>
      <c r="G62" t="str">
        <f>Tabela2[[#This Row],[Failed Part Name]]</f>
        <v>FECHADURA DO SUPORTE DO CONDENSADOR</v>
      </c>
      <c r="I62">
        <v>1640</v>
      </c>
      <c r="J62" t="s">
        <v>37</v>
      </c>
      <c r="K62" s="1">
        <v>45009</v>
      </c>
      <c r="L62" s="1"/>
      <c r="M62" s="1">
        <v>44740</v>
      </c>
      <c r="N62" s="1">
        <v>44748</v>
      </c>
      <c r="O62" s="1" t="s">
        <v>443</v>
      </c>
      <c r="P62" t="s">
        <v>661</v>
      </c>
      <c r="Q62" t="s">
        <v>94</v>
      </c>
      <c r="R62" t="s">
        <v>40</v>
      </c>
      <c r="S62" t="s">
        <v>45</v>
      </c>
      <c r="U62" t="s">
        <v>38</v>
      </c>
      <c r="V62" s="1">
        <v>45028.4743171296</v>
      </c>
      <c r="W62" s="1" t="s">
        <v>31</v>
      </c>
      <c r="X62" t="s">
        <v>32</v>
      </c>
      <c r="Y62" s="1">
        <v>45028</v>
      </c>
      <c r="AA62" t="s">
        <v>370</v>
      </c>
      <c r="AB62" t="s">
        <v>1523</v>
      </c>
      <c r="AC62" t="str">
        <f>INDEX('DB Description'!$A$1:$B$23,MATCH(Tabela2[[#This Row],[Filial DB code]],'DB Description'!A:A,),2)</f>
        <v>FW</v>
      </c>
      <c r="AD62" s="9">
        <f>Tabela2[[#This Row],[Issue2]]-Tabela2[[#This Row],[Failure2]]</f>
        <v>19</v>
      </c>
      <c r="AE62" t="str">
        <f t="shared" si="12"/>
        <v>FY2023</v>
      </c>
      <c r="AF62">
        <f>YEAR(Tabela2[[#This Row],[Issue2]])</f>
        <v>2023</v>
      </c>
    </row>
    <row r="63" spans="1:32" x14ac:dyDescent="0.35">
      <c r="A63" t="s">
        <v>662</v>
      </c>
      <c r="B63" t="s">
        <v>663</v>
      </c>
      <c r="C63" t="s">
        <v>348</v>
      </c>
      <c r="D63" t="s">
        <v>89</v>
      </c>
      <c r="E63" t="s">
        <v>1866</v>
      </c>
      <c r="F63" t="s">
        <v>291</v>
      </c>
      <c r="G63" t="s">
        <v>664</v>
      </c>
      <c r="I63">
        <v>342</v>
      </c>
      <c r="J63" t="s">
        <v>37</v>
      </c>
      <c r="K63" s="1">
        <v>45034</v>
      </c>
      <c r="L63" s="1">
        <v>45034</v>
      </c>
      <c r="M63" s="1">
        <v>44679</v>
      </c>
      <c r="O63" s="1" t="s">
        <v>665</v>
      </c>
      <c r="P63" t="s">
        <v>63</v>
      </c>
      <c r="Q63" t="s">
        <v>63</v>
      </c>
      <c r="R63" t="s">
        <v>193</v>
      </c>
      <c r="S63" t="s">
        <v>45</v>
      </c>
      <c r="U63" t="s">
        <v>38</v>
      </c>
      <c r="V63" s="1">
        <v>45034.708668981497</v>
      </c>
      <c r="W63" s="1" t="s">
        <v>53</v>
      </c>
      <c r="X63" t="s">
        <v>32</v>
      </c>
      <c r="Y63" s="1">
        <v>45035</v>
      </c>
      <c r="AA63" t="s">
        <v>403</v>
      </c>
      <c r="AB63" t="s">
        <v>1512</v>
      </c>
      <c r="AC63" t="str">
        <f>INDEX('DB Description'!$A$1:$B$23,MATCH(Tabela2[[#This Row],[Filial DB code]],'DB Description'!A:A,),2)</f>
        <v>Bauko</v>
      </c>
      <c r="AD63" s="9">
        <f>Tabela2[[#This Row],[Issue2]]-Tabela2[[#This Row],[Failure2]]</f>
        <v>1</v>
      </c>
      <c r="AE63" t="str">
        <f t="shared" si="12"/>
        <v>FY2023</v>
      </c>
      <c r="AF63">
        <f>YEAR(Tabela2[[#This Row],[Issue2]])</f>
        <v>2023</v>
      </c>
    </row>
    <row r="64" spans="1:32" x14ac:dyDescent="0.35">
      <c r="A64" t="s">
        <v>671</v>
      </c>
      <c r="B64" t="s">
        <v>672</v>
      </c>
      <c r="C64" t="s">
        <v>348</v>
      </c>
      <c r="D64" t="s">
        <v>673</v>
      </c>
      <c r="E64" s="4" t="s">
        <v>1862</v>
      </c>
      <c r="F64" t="s">
        <v>1926</v>
      </c>
      <c r="I64">
        <v>14019</v>
      </c>
      <c r="J64" t="s">
        <v>37</v>
      </c>
      <c r="K64" s="1">
        <v>44901</v>
      </c>
      <c r="L64" s="1"/>
      <c r="M64" s="1">
        <v>44701</v>
      </c>
      <c r="N64" s="1">
        <v>44749</v>
      </c>
      <c r="O64" s="1" t="s">
        <v>624</v>
      </c>
      <c r="P64" t="s">
        <v>670</v>
      </c>
      <c r="Q64" t="s">
        <v>42</v>
      </c>
      <c r="R64" t="s">
        <v>50</v>
      </c>
      <c r="S64" t="s">
        <v>45</v>
      </c>
      <c r="U64" t="s">
        <v>38</v>
      </c>
      <c r="V64" s="1">
        <v>45040.730706018498</v>
      </c>
      <c r="W64" s="1" t="s">
        <v>481</v>
      </c>
      <c r="X64" t="s">
        <v>32</v>
      </c>
      <c r="Y64" s="1">
        <v>45040</v>
      </c>
      <c r="AA64" t="s">
        <v>482</v>
      </c>
      <c r="AB64" t="s">
        <v>1517</v>
      </c>
      <c r="AC64" t="str">
        <f>INDEX('DB Description'!$A$1:$B$23,MATCH(Tabela2[[#This Row],[Filial DB code]],'DB Description'!A:A,),2)</f>
        <v>Mason</v>
      </c>
      <c r="AD64" s="9">
        <f>Tabela2[[#This Row],[Issue2]]-Tabela2[[#This Row],[Failure2]]</f>
        <v>139</v>
      </c>
      <c r="AE64" t="str">
        <f t="shared" si="12"/>
        <v>FY2023</v>
      </c>
      <c r="AF64">
        <f>YEAR(Tabela2[[#This Row],[Issue2]])</f>
        <v>2023</v>
      </c>
    </row>
    <row r="65" spans="1:32" x14ac:dyDescent="0.35">
      <c r="A65" t="s">
        <v>666</v>
      </c>
      <c r="B65" t="s">
        <v>667</v>
      </c>
      <c r="C65" t="s">
        <v>348</v>
      </c>
      <c r="D65" t="s">
        <v>668</v>
      </c>
      <c r="E65" s="4" t="s">
        <v>1862</v>
      </c>
      <c r="F65" t="s">
        <v>1926</v>
      </c>
      <c r="G65" t="s">
        <v>669</v>
      </c>
      <c r="I65">
        <v>452</v>
      </c>
      <c r="J65" t="s">
        <v>37</v>
      </c>
      <c r="K65" s="1">
        <v>44844</v>
      </c>
      <c r="L65" s="1"/>
      <c r="M65" s="1">
        <v>44734</v>
      </c>
      <c r="N65" s="1">
        <v>44754</v>
      </c>
      <c r="O65" s="1" t="s">
        <v>624</v>
      </c>
      <c r="P65" t="s">
        <v>670</v>
      </c>
      <c r="Q65" t="s">
        <v>42</v>
      </c>
      <c r="R65" t="s">
        <v>50</v>
      </c>
      <c r="S65" t="s">
        <v>45</v>
      </c>
      <c r="U65" t="s">
        <v>38</v>
      </c>
      <c r="V65" s="1">
        <v>45040.743993055599</v>
      </c>
      <c r="W65" s="1" t="s">
        <v>481</v>
      </c>
      <c r="X65" t="s">
        <v>32</v>
      </c>
      <c r="Y65" s="1">
        <v>45040</v>
      </c>
      <c r="AA65" t="s">
        <v>482</v>
      </c>
      <c r="AB65" t="s">
        <v>1517</v>
      </c>
      <c r="AC65" t="str">
        <f>INDEX('DB Description'!$A$1:$B$23,MATCH(Tabela2[[#This Row],[Filial DB code]],'DB Description'!A:A,),2)</f>
        <v>Mason</v>
      </c>
      <c r="AD65" s="9">
        <f>Tabela2[[#This Row],[Issue2]]-Tabela2[[#This Row],[Failure2]]</f>
        <v>196</v>
      </c>
      <c r="AE65" t="str">
        <f t="shared" si="12"/>
        <v>FY2023</v>
      </c>
      <c r="AF65">
        <f>YEAR(Tabela2[[#This Row],[Issue2]])</f>
        <v>2023</v>
      </c>
    </row>
    <row r="66" spans="1:32" x14ac:dyDescent="0.35">
      <c r="A66" t="s">
        <v>674</v>
      </c>
      <c r="B66" t="s">
        <v>524</v>
      </c>
      <c r="C66" t="s">
        <v>348</v>
      </c>
      <c r="D66" t="s">
        <v>675</v>
      </c>
      <c r="E66" t="s">
        <v>1901</v>
      </c>
      <c r="F66" t="s">
        <v>1944</v>
      </c>
      <c r="I66">
        <v>2106</v>
      </c>
      <c r="J66" t="s">
        <v>37</v>
      </c>
      <c r="K66" s="1">
        <v>45044</v>
      </c>
      <c r="L66" s="1"/>
      <c r="M66" s="1">
        <v>44643</v>
      </c>
      <c r="N66" s="1">
        <v>44664</v>
      </c>
      <c r="O66" s="1" t="s">
        <v>526</v>
      </c>
      <c r="P66" t="s">
        <v>140</v>
      </c>
      <c r="Q66" t="s">
        <v>99</v>
      </c>
      <c r="R66" t="s">
        <v>40</v>
      </c>
      <c r="S66" t="s">
        <v>45</v>
      </c>
      <c r="U66" t="s">
        <v>38</v>
      </c>
      <c r="V66" s="1">
        <v>45044.445289351897</v>
      </c>
      <c r="W66" s="1" t="s">
        <v>53</v>
      </c>
      <c r="X66" t="s">
        <v>32</v>
      </c>
      <c r="Y66" s="1">
        <v>45044</v>
      </c>
      <c r="AA66" t="s">
        <v>528</v>
      </c>
      <c r="AB66" t="s">
        <v>1520</v>
      </c>
      <c r="AC66" t="str">
        <f>INDEX('DB Description'!$A$1:$B$23,MATCH(Tabela2[[#This Row],[Filial DB code]],'DB Description'!A:A,),2)</f>
        <v>Bauko</v>
      </c>
      <c r="AD66" s="9">
        <f>Tabela2[[#This Row],[Issue2]]-Tabela2[[#This Row],[Failure2]]</f>
        <v>0</v>
      </c>
      <c r="AE66" t="str">
        <f t="shared" si="12"/>
        <v>FY2023</v>
      </c>
      <c r="AF66">
        <f>YEAR(Tabela2[[#This Row],[Issue2]])</f>
        <v>2023</v>
      </c>
    </row>
    <row r="67" spans="1:32" x14ac:dyDescent="0.35">
      <c r="A67" t="s">
        <v>677</v>
      </c>
      <c r="B67" t="s">
        <v>678</v>
      </c>
      <c r="C67" t="s">
        <v>348</v>
      </c>
      <c r="D67" t="s">
        <v>272</v>
      </c>
      <c r="E67" t="s">
        <v>1933</v>
      </c>
      <c r="F67" t="s">
        <v>1961</v>
      </c>
      <c r="G67" t="s">
        <v>679</v>
      </c>
      <c r="I67">
        <v>478</v>
      </c>
      <c r="J67" t="s">
        <v>37</v>
      </c>
      <c r="K67" s="1">
        <v>45034</v>
      </c>
      <c r="L67" s="1">
        <v>45034</v>
      </c>
      <c r="M67" s="1">
        <v>44768</v>
      </c>
      <c r="N67" s="1">
        <v>44886</v>
      </c>
      <c r="O67" s="1" t="s">
        <v>680</v>
      </c>
      <c r="P67" t="s">
        <v>298</v>
      </c>
      <c r="Q67" t="s">
        <v>168</v>
      </c>
      <c r="R67" t="s">
        <v>304</v>
      </c>
      <c r="S67" t="s">
        <v>45</v>
      </c>
      <c r="U67" t="s">
        <v>38</v>
      </c>
      <c r="V67" s="1">
        <v>45048.672974537003</v>
      </c>
      <c r="W67" s="1" t="s">
        <v>51</v>
      </c>
      <c r="X67" t="s">
        <v>32</v>
      </c>
      <c r="Y67" s="1">
        <v>45048</v>
      </c>
      <c r="Z67" s="1" t="s">
        <v>586</v>
      </c>
      <c r="AA67" t="s">
        <v>337</v>
      </c>
      <c r="AB67" t="s">
        <v>1519</v>
      </c>
      <c r="AC67" t="str">
        <f>INDEX('DB Description'!$A$1:$B$23,MATCH(Tabela2[[#This Row],[Filial DB code]],'DB Description'!A:A,),2)</f>
        <v>MANTOMAC-CHA (213SCA)</v>
      </c>
      <c r="AD67" s="9">
        <f>Tabela2[[#This Row],[Issue2]]-Tabela2[[#This Row],[Failure2]]</f>
        <v>14</v>
      </c>
      <c r="AE67" t="str">
        <f t="shared" ref="AE67:AE70" si="13">"FY"&amp;IF(MONTH(Y67)&gt;=4,YEAR(Y67),YEAR(Y67)-1)</f>
        <v>FY2023</v>
      </c>
      <c r="AF67">
        <f>YEAR(Tabela2[[#This Row],[Issue2]])</f>
        <v>2023</v>
      </c>
    </row>
    <row r="68" spans="1:32" x14ac:dyDescent="0.35">
      <c r="A68" t="s">
        <v>676</v>
      </c>
      <c r="B68" t="s">
        <v>474</v>
      </c>
      <c r="C68" t="s">
        <v>348</v>
      </c>
      <c r="D68" t="s">
        <v>484</v>
      </c>
      <c r="E68" t="s">
        <v>1872</v>
      </c>
      <c r="F68" t="s">
        <v>1871</v>
      </c>
      <c r="I68">
        <v>614</v>
      </c>
      <c r="J68" t="s">
        <v>332</v>
      </c>
      <c r="K68" s="1">
        <v>45041</v>
      </c>
      <c r="L68" s="1"/>
      <c r="M68" s="1">
        <v>44734</v>
      </c>
      <c r="N68" s="1">
        <v>44817</v>
      </c>
      <c r="O68" s="1" t="s">
        <v>476</v>
      </c>
      <c r="P68" t="s">
        <v>477</v>
      </c>
      <c r="Q68" t="s">
        <v>42</v>
      </c>
      <c r="R68" t="s">
        <v>229</v>
      </c>
      <c r="S68" t="s">
        <v>45</v>
      </c>
      <c r="T68" t="s">
        <v>329</v>
      </c>
      <c r="U68" t="s">
        <v>409</v>
      </c>
      <c r="V68" s="1">
        <v>45048.702025462997</v>
      </c>
      <c r="W68" s="1" t="s">
        <v>53</v>
      </c>
      <c r="X68" t="s">
        <v>32</v>
      </c>
      <c r="Y68" s="1">
        <v>45048</v>
      </c>
      <c r="AA68" t="s">
        <v>397</v>
      </c>
      <c r="AB68" t="s">
        <v>243</v>
      </c>
      <c r="AC68" t="str">
        <f>INDEX('DB Description'!$A$1:$B$23,MATCH(Tabela2[[#This Row],[Filial DB code]],'DB Description'!A:A,),2)</f>
        <v>Bauko</v>
      </c>
      <c r="AD68" s="9">
        <f>Tabela2[[#This Row],[Issue2]]-Tabela2[[#This Row],[Failure2]]</f>
        <v>7</v>
      </c>
      <c r="AE68" t="str">
        <f t="shared" si="13"/>
        <v>FY2023</v>
      </c>
      <c r="AF68">
        <f>YEAR(Tabela2[[#This Row],[Issue2]])</f>
        <v>2023</v>
      </c>
    </row>
    <row r="69" spans="1:32" x14ac:dyDescent="0.35">
      <c r="A69" t="s">
        <v>683</v>
      </c>
      <c r="B69" t="s">
        <v>684</v>
      </c>
      <c r="C69" t="s">
        <v>348</v>
      </c>
      <c r="D69" t="s">
        <v>685</v>
      </c>
      <c r="E69" t="s">
        <v>1901</v>
      </c>
      <c r="F69" t="s">
        <v>1922</v>
      </c>
      <c r="I69">
        <v>5</v>
      </c>
      <c r="J69" t="s">
        <v>37</v>
      </c>
      <c r="K69" s="1">
        <v>45054</v>
      </c>
      <c r="L69" s="1"/>
      <c r="M69" s="1">
        <v>44900</v>
      </c>
      <c r="O69" s="1" t="s">
        <v>686</v>
      </c>
      <c r="P69" t="s">
        <v>687</v>
      </c>
      <c r="Q69" t="s">
        <v>204</v>
      </c>
      <c r="R69" t="s">
        <v>229</v>
      </c>
      <c r="S69" t="s">
        <v>45</v>
      </c>
      <c r="U69" t="s">
        <v>38</v>
      </c>
      <c r="V69" s="1">
        <v>45072.635763888902</v>
      </c>
      <c r="W69" s="1" t="s">
        <v>53</v>
      </c>
      <c r="X69" t="s">
        <v>32</v>
      </c>
      <c r="Y69" s="1">
        <v>45072</v>
      </c>
      <c r="AA69" t="s">
        <v>397</v>
      </c>
      <c r="AB69" t="s">
        <v>243</v>
      </c>
      <c r="AC69" t="str">
        <f>INDEX('DB Description'!$A$1:$B$23,MATCH(Tabela2[[#This Row],[Filial DB code]],'DB Description'!A:A,),2)</f>
        <v>Bauko</v>
      </c>
      <c r="AD69" s="9">
        <f>Tabela2[[#This Row],[Issue2]]-Tabela2[[#This Row],[Failure2]]</f>
        <v>18</v>
      </c>
      <c r="AE69" t="str">
        <f t="shared" si="13"/>
        <v>FY2023</v>
      </c>
      <c r="AF69">
        <f>YEAR(Tabela2[[#This Row],[Issue2]])</f>
        <v>2023</v>
      </c>
    </row>
    <row r="70" spans="1:32" x14ac:dyDescent="0.35">
      <c r="A70" t="s">
        <v>689</v>
      </c>
      <c r="B70" t="s">
        <v>690</v>
      </c>
      <c r="C70" t="s">
        <v>348</v>
      </c>
      <c r="D70" t="s">
        <v>691</v>
      </c>
      <c r="E70" t="s">
        <v>1938</v>
      </c>
      <c r="G70" t="s">
        <v>692</v>
      </c>
      <c r="I70">
        <v>2343</v>
      </c>
      <c r="J70" t="s">
        <v>37</v>
      </c>
      <c r="K70" s="1">
        <v>44951</v>
      </c>
      <c r="L70" s="1"/>
      <c r="M70" s="1">
        <v>44671</v>
      </c>
      <c r="N70" s="1">
        <v>44680</v>
      </c>
      <c r="O70" s="1" t="s">
        <v>693</v>
      </c>
      <c r="P70" t="s">
        <v>694</v>
      </c>
      <c r="Q70" t="s">
        <v>75</v>
      </c>
      <c r="R70" t="s">
        <v>148</v>
      </c>
      <c r="S70" t="s">
        <v>45</v>
      </c>
      <c r="U70" t="s">
        <v>38</v>
      </c>
      <c r="V70" s="1">
        <v>45061.739606481497</v>
      </c>
      <c r="W70" s="1" t="s">
        <v>64</v>
      </c>
      <c r="X70" t="s">
        <v>32</v>
      </c>
      <c r="Y70" s="1">
        <v>45076</v>
      </c>
      <c r="AA70" t="s">
        <v>682</v>
      </c>
      <c r="AB70" t="s">
        <v>1514</v>
      </c>
      <c r="AC70" t="str">
        <f>INDEX('DB Description'!$A$1:$B$23,MATCH(Tabela2[[#This Row],[Filial DB code]],'DB Description'!A:A,),2)</f>
        <v>Mason</v>
      </c>
      <c r="AD70" s="9">
        <f>Tabela2[[#This Row],[Issue2]]-Tabela2[[#This Row],[Failure2]]</f>
        <v>125</v>
      </c>
      <c r="AE70" t="str">
        <f t="shared" si="13"/>
        <v>FY2023</v>
      </c>
      <c r="AF70">
        <f>YEAR(Tabela2[[#This Row],[Issue2]])</f>
        <v>2023</v>
      </c>
    </row>
    <row r="71" spans="1:32" x14ac:dyDescent="0.35">
      <c r="A71" t="s">
        <v>695</v>
      </c>
      <c r="B71" t="s">
        <v>696</v>
      </c>
      <c r="C71" t="s">
        <v>348</v>
      </c>
      <c r="D71" t="s">
        <v>547</v>
      </c>
      <c r="E71" t="s">
        <v>1866</v>
      </c>
      <c r="F71" t="s">
        <v>266</v>
      </c>
      <c r="G71" t="s">
        <v>697</v>
      </c>
      <c r="I71">
        <v>2070</v>
      </c>
      <c r="J71" t="s">
        <v>37</v>
      </c>
      <c r="K71" s="1">
        <v>45072</v>
      </c>
      <c r="L71" s="1">
        <v>45072</v>
      </c>
      <c r="M71" s="1">
        <v>44725</v>
      </c>
      <c r="N71" s="1">
        <v>44763</v>
      </c>
      <c r="O71" s="1" t="s">
        <v>251</v>
      </c>
      <c r="P71" t="s">
        <v>54</v>
      </c>
      <c r="Q71" t="s">
        <v>116</v>
      </c>
      <c r="R71" t="s">
        <v>50</v>
      </c>
      <c r="S71" t="s">
        <v>45</v>
      </c>
      <c r="U71" t="s">
        <v>38</v>
      </c>
      <c r="V71" s="1">
        <v>45078.644305555601</v>
      </c>
      <c r="W71" s="1" t="s">
        <v>64</v>
      </c>
      <c r="X71" t="s">
        <v>32</v>
      </c>
      <c r="Y71" s="1">
        <v>45078</v>
      </c>
      <c r="Z71" s="1" t="s">
        <v>698</v>
      </c>
      <c r="AA71" t="s">
        <v>682</v>
      </c>
      <c r="AB71" t="s">
        <v>1514</v>
      </c>
      <c r="AC71" t="str">
        <f>INDEX('DB Description'!$A$1:$B$23,MATCH(Tabela2[[#This Row],[Filial DB code]],'DB Description'!A:A,),2)</f>
        <v>Mason</v>
      </c>
      <c r="AD71" s="9">
        <f>Tabela2[[#This Row],[Issue2]]-Tabela2[[#This Row],[Failure2]]</f>
        <v>6</v>
      </c>
      <c r="AE71" t="str">
        <f t="shared" ref="AE71:AE76" si="14">"FY"&amp;IF(MONTH(Y71)&gt;=4,YEAR(Y71),YEAR(Y71)-1)</f>
        <v>FY2023</v>
      </c>
      <c r="AF71">
        <f>YEAR(Tabela2[[#This Row],[Issue2]])</f>
        <v>2023</v>
      </c>
    </row>
    <row r="72" spans="1:32" x14ac:dyDescent="0.35">
      <c r="A72" t="s">
        <v>699</v>
      </c>
      <c r="B72" t="s">
        <v>700</v>
      </c>
      <c r="C72" t="s">
        <v>348</v>
      </c>
      <c r="D72" t="s">
        <v>217</v>
      </c>
      <c r="E72" t="s">
        <v>1856</v>
      </c>
      <c r="F72" t="s">
        <v>313</v>
      </c>
      <c r="G72" t="s">
        <v>701</v>
      </c>
      <c r="I72">
        <v>97</v>
      </c>
      <c r="J72" t="s">
        <v>37</v>
      </c>
      <c r="K72" s="1">
        <v>45071</v>
      </c>
      <c r="L72" s="1"/>
      <c r="M72" s="1">
        <v>44804</v>
      </c>
      <c r="N72" s="1">
        <v>44907</v>
      </c>
      <c r="O72" s="1" t="s">
        <v>306</v>
      </c>
      <c r="P72" t="s">
        <v>307</v>
      </c>
      <c r="Q72" t="s">
        <v>204</v>
      </c>
      <c r="R72" t="s">
        <v>193</v>
      </c>
      <c r="S72" t="s">
        <v>45</v>
      </c>
      <c r="U72" t="s">
        <v>38</v>
      </c>
      <c r="V72" s="1">
        <v>45078.629247685203</v>
      </c>
      <c r="W72" s="1" t="s">
        <v>46</v>
      </c>
      <c r="X72" t="s">
        <v>32</v>
      </c>
      <c r="Y72" s="1">
        <v>45078</v>
      </c>
      <c r="Z72" s="1" t="s">
        <v>702</v>
      </c>
      <c r="AA72" t="s">
        <v>543</v>
      </c>
      <c r="AB72" t="s">
        <v>1518</v>
      </c>
      <c r="AC72" t="str">
        <f>INDEX('DB Description'!$A$1:$B$23,MATCH(Tabela2[[#This Row],[Filial DB code]],'DB Description'!A:A,),2)</f>
        <v xml:space="preserve">Vianmaq </v>
      </c>
      <c r="AD72" s="9">
        <f>Tabela2[[#This Row],[Issue2]]-Tabela2[[#This Row],[Failure2]]</f>
        <v>7</v>
      </c>
      <c r="AE72" t="str">
        <f t="shared" si="14"/>
        <v>FY2023</v>
      </c>
      <c r="AF72">
        <f>YEAR(Tabela2[[#This Row],[Issue2]])</f>
        <v>2023</v>
      </c>
    </row>
    <row r="73" spans="1:32" x14ac:dyDescent="0.35">
      <c r="A73" t="s">
        <v>706</v>
      </c>
      <c r="B73" t="s">
        <v>707</v>
      </c>
      <c r="C73" t="s">
        <v>348</v>
      </c>
      <c r="D73" t="s">
        <v>230</v>
      </c>
      <c r="E73" t="s">
        <v>1873</v>
      </c>
      <c r="F73" t="s">
        <v>1924</v>
      </c>
      <c r="G73" t="s">
        <v>436</v>
      </c>
      <c r="I73">
        <v>383</v>
      </c>
      <c r="J73" t="s">
        <v>37</v>
      </c>
      <c r="K73" s="1">
        <v>45091</v>
      </c>
      <c r="L73" s="1"/>
      <c r="M73" s="1">
        <v>44819</v>
      </c>
      <c r="N73" s="1">
        <v>45029</v>
      </c>
      <c r="O73" s="1" t="s">
        <v>437</v>
      </c>
      <c r="P73" t="s">
        <v>211</v>
      </c>
      <c r="Q73" t="s">
        <v>94</v>
      </c>
      <c r="R73" t="s">
        <v>40</v>
      </c>
      <c r="S73" t="s">
        <v>45</v>
      </c>
      <c r="U73" t="s">
        <v>38</v>
      </c>
      <c r="V73" s="1">
        <v>45092.377789351798</v>
      </c>
      <c r="W73" s="1" t="s">
        <v>53</v>
      </c>
      <c r="X73" t="s">
        <v>32</v>
      </c>
      <c r="Y73" s="1">
        <v>45092</v>
      </c>
      <c r="AA73" t="s">
        <v>403</v>
      </c>
      <c r="AB73" t="s">
        <v>1512</v>
      </c>
      <c r="AC73" t="str">
        <f>INDEX('DB Description'!$A$1:$B$23,MATCH(Tabela2[[#This Row],[Filial DB code]],'DB Description'!A:A,),2)</f>
        <v>Bauko</v>
      </c>
      <c r="AD73" s="9">
        <f>Tabela2[[#This Row],[Issue2]]-Tabela2[[#This Row],[Failure2]]</f>
        <v>1</v>
      </c>
      <c r="AE73" t="str">
        <f t="shared" si="14"/>
        <v>FY2023</v>
      </c>
      <c r="AF73">
        <f>YEAR(Tabela2[[#This Row],[Issue2]])</f>
        <v>2023</v>
      </c>
    </row>
    <row r="74" spans="1:32" x14ac:dyDescent="0.35">
      <c r="A74" t="s">
        <v>712</v>
      </c>
      <c r="B74" t="s">
        <v>710</v>
      </c>
      <c r="C74" t="s">
        <v>348</v>
      </c>
      <c r="D74" t="s">
        <v>713</v>
      </c>
      <c r="E74" t="s">
        <v>1878</v>
      </c>
      <c r="F74" t="s">
        <v>681</v>
      </c>
      <c r="I74">
        <v>3.3</v>
      </c>
      <c r="J74" t="s">
        <v>332</v>
      </c>
      <c r="K74" s="1">
        <v>45093</v>
      </c>
      <c r="L74" s="1"/>
      <c r="M74" s="1">
        <v>44985</v>
      </c>
      <c r="O74" s="1" t="s">
        <v>711</v>
      </c>
      <c r="P74" t="s">
        <v>708</v>
      </c>
      <c r="Q74" t="s">
        <v>199</v>
      </c>
      <c r="R74" t="s">
        <v>193</v>
      </c>
      <c r="S74" t="s">
        <v>45</v>
      </c>
      <c r="T74" t="s">
        <v>329</v>
      </c>
      <c r="U74" t="s">
        <v>30</v>
      </c>
      <c r="V74" s="1">
        <v>45093.614212963003</v>
      </c>
      <c r="W74" s="1" t="s">
        <v>31</v>
      </c>
      <c r="X74" t="s">
        <v>32</v>
      </c>
      <c r="Y74" s="1">
        <v>45093</v>
      </c>
      <c r="AA74" t="s">
        <v>370</v>
      </c>
      <c r="AB74" t="s">
        <v>1523</v>
      </c>
      <c r="AC74" t="str">
        <f>INDEX('DB Description'!$A$1:$B$23,MATCH(Tabela2[[#This Row],[Filial DB code]],'DB Description'!A:A,),2)</f>
        <v>FW</v>
      </c>
      <c r="AD74" s="9">
        <f>Tabela2[[#This Row],[Issue2]]-Tabela2[[#This Row],[Failure2]]</f>
        <v>0</v>
      </c>
      <c r="AE74" t="str">
        <f t="shared" si="14"/>
        <v>FY2023</v>
      </c>
      <c r="AF74">
        <f>YEAR(Tabela2[[#This Row],[Issue2]])</f>
        <v>2023</v>
      </c>
    </row>
    <row r="75" spans="1:32" x14ac:dyDescent="0.35">
      <c r="A75" t="s">
        <v>709</v>
      </c>
      <c r="B75" t="s">
        <v>710</v>
      </c>
      <c r="C75" t="s">
        <v>348</v>
      </c>
      <c r="D75" t="s">
        <v>285</v>
      </c>
      <c r="E75" t="s">
        <v>1878</v>
      </c>
      <c r="F75" t="s">
        <v>681</v>
      </c>
      <c r="I75">
        <v>6.1</v>
      </c>
      <c r="J75" t="s">
        <v>37</v>
      </c>
      <c r="K75" s="1">
        <v>45093</v>
      </c>
      <c r="L75" s="1"/>
      <c r="M75" s="1">
        <v>44957</v>
      </c>
      <c r="O75" s="1" t="s">
        <v>711</v>
      </c>
      <c r="P75" t="s">
        <v>708</v>
      </c>
      <c r="Q75" t="s">
        <v>199</v>
      </c>
      <c r="R75" t="s">
        <v>193</v>
      </c>
      <c r="S75" t="s">
        <v>45</v>
      </c>
      <c r="U75" t="s">
        <v>38</v>
      </c>
      <c r="V75" s="1">
        <v>45093.614293981504</v>
      </c>
      <c r="W75" s="1" t="s">
        <v>31</v>
      </c>
      <c r="X75" t="s">
        <v>32</v>
      </c>
      <c r="Y75" s="1">
        <v>45093</v>
      </c>
      <c r="AA75" t="s">
        <v>370</v>
      </c>
      <c r="AB75" t="s">
        <v>1523</v>
      </c>
      <c r="AC75" t="str">
        <f>INDEX('DB Description'!$A$1:$B$23,MATCH(Tabela2[[#This Row],[Filial DB code]],'DB Description'!A:A,),2)</f>
        <v>FW</v>
      </c>
      <c r="AD75" s="9">
        <f>Tabela2[[#This Row],[Issue2]]-Tabela2[[#This Row],[Failure2]]</f>
        <v>0</v>
      </c>
      <c r="AE75" t="str">
        <f t="shared" si="14"/>
        <v>FY2023</v>
      </c>
      <c r="AF75">
        <f>YEAR(Tabela2[[#This Row],[Issue2]])</f>
        <v>2023</v>
      </c>
    </row>
    <row r="76" spans="1:32" x14ac:dyDescent="0.35">
      <c r="A76" t="s">
        <v>714</v>
      </c>
      <c r="B76" t="s">
        <v>715</v>
      </c>
      <c r="C76" t="s">
        <v>348</v>
      </c>
      <c r="D76" t="s">
        <v>261</v>
      </c>
      <c r="E76" t="s">
        <v>1866</v>
      </c>
      <c r="F76" t="s">
        <v>291</v>
      </c>
      <c r="I76">
        <v>20</v>
      </c>
      <c r="J76" t="s">
        <v>332</v>
      </c>
      <c r="K76" s="1">
        <v>45081</v>
      </c>
      <c r="L76" s="1"/>
      <c r="M76" s="1">
        <v>44960</v>
      </c>
      <c r="N76" s="1">
        <v>45071</v>
      </c>
      <c r="O76" s="1" t="s">
        <v>716</v>
      </c>
      <c r="P76" t="s">
        <v>717</v>
      </c>
      <c r="Q76" t="s">
        <v>125</v>
      </c>
      <c r="R76" t="s">
        <v>148</v>
      </c>
      <c r="S76" t="s">
        <v>45</v>
      </c>
      <c r="T76" t="s">
        <v>329</v>
      </c>
      <c r="U76" t="s">
        <v>30</v>
      </c>
      <c r="V76" s="1">
        <v>45097.498946759297</v>
      </c>
      <c r="W76" s="1" t="s">
        <v>31</v>
      </c>
      <c r="X76" t="s">
        <v>32</v>
      </c>
      <c r="Y76" s="1">
        <v>45097</v>
      </c>
      <c r="AA76" t="s">
        <v>370</v>
      </c>
      <c r="AB76" t="s">
        <v>1523</v>
      </c>
      <c r="AC76" t="str">
        <f>INDEX('DB Description'!$A$1:$B$23,MATCH(Tabela2[[#This Row],[Filial DB code]],'DB Description'!A:A,),2)</f>
        <v>FW</v>
      </c>
      <c r="AD76" s="9">
        <f>Tabela2[[#This Row],[Issue2]]-Tabela2[[#This Row],[Failure2]]</f>
        <v>16</v>
      </c>
      <c r="AE76" t="str">
        <f t="shared" si="14"/>
        <v>FY2023</v>
      </c>
      <c r="AF76">
        <f>YEAR(Tabela2[[#This Row],[Issue2]])</f>
        <v>2023</v>
      </c>
    </row>
    <row r="77" spans="1:32" x14ac:dyDescent="0.35">
      <c r="A77" t="s">
        <v>718</v>
      </c>
      <c r="B77" t="s">
        <v>719</v>
      </c>
      <c r="C77" t="s">
        <v>348</v>
      </c>
      <c r="D77" t="s">
        <v>720</v>
      </c>
      <c r="E77" t="s">
        <v>1938</v>
      </c>
      <c r="F77" t="s">
        <v>1964</v>
      </c>
      <c r="G77" t="s">
        <v>721</v>
      </c>
      <c r="H77" t="s">
        <v>722</v>
      </c>
      <c r="I77">
        <v>734</v>
      </c>
      <c r="J77" t="s">
        <v>332</v>
      </c>
      <c r="K77" s="1">
        <v>45082</v>
      </c>
      <c r="L77" s="1">
        <v>45083</v>
      </c>
      <c r="M77" s="1">
        <v>44676</v>
      </c>
      <c r="N77" s="1">
        <v>44694</v>
      </c>
      <c r="O77" s="1" t="s">
        <v>723</v>
      </c>
      <c r="P77" t="s">
        <v>724</v>
      </c>
      <c r="Q77" t="s">
        <v>82</v>
      </c>
      <c r="R77" t="s">
        <v>223</v>
      </c>
      <c r="S77" t="s">
        <v>45</v>
      </c>
      <c r="T77" t="s">
        <v>329</v>
      </c>
      <c r="U77" t="s">
        <v>30</v>
      </c>
      <c r="V77" s="1">
        <v>45104.629166666702</v>
      </c>
      <c r="W77" s="1" t="s">
        <v>64</v>
      </c>
      <c r="X77" t="s">
        <v>32</v>
      </c>
      <c r="Y77" s="1">
        <v>45104</v>
      </c>
      <c r="Z77" s="1" t="s">
        <v>725</v>
      </c>
      <c r="AA77" t="s">
        <v>704</v>
      </c>
      <c r="AB77" t="s">
        <v>1514</v>
      </c>
      <c r="AC77" t="str">
        <f>INDEX('DB Description'!$A$1:$B$23,MATCH(Tabela2[[#This Row],[Filial DB code]],'DB Description'!A:A,),2)</f>
        <v>Mason</v>
      </c>
      <c r="AD77" s="9">
        <f>Tabela2[[#This Row],[Issue2]]-Tabela2[[#This Row],[Failure2]]</f>
        <v>22</v>
      </c>
      <c r="AE77" t="str">
        <f t="shared" ref="AE77:AE82" si="15">"FY"&amp;IF(MONTH(Y77)&gt;=4,YEAR(Y77),YEAR(Y77)-1)</f>
        <v>FY2023</v>
      </c>
      <c r="AF77">
        <f>YEAR(Tabela2[[#This Row],[Issue2]])</f>
        <v>2023</v>
      </c>
    </row>
    <row r="78" spans="1:32" x14ac:dyDescent="0.35">
      <c r="A78" t="s">
        <v>730</v>
      </c>
      <c r="B78" t="s">
        <v>731</v>
      </c>
      <c r="C78" t="s">
        <v>348</v>
      </c>
      <c r="D78" t="s">
        <v>651</v>
      </c>
      <c r="E78" t="s">
        <v>1847</v>
      </c>
      <c r="F78" t="s">
        <v>1883</v>
      </c>
      <c r="G78" t="s">
        <v>728</v>
      </c>
      <c r="I78">
        <v>284</v>
      </c>
      <c r="J78" t="s">
        <v>37</v>
      </c>
      <c r="K78" s="1">
        <v>45110</v>
      </c>
      <c r="L78" s="1">
        <v>45110</v>
      </c>
      <c r="M78" s="1">
        <v>44894</v>
      </c>
      <c r="N78" s="1">
        <v>45062</v>
      </c>
      <c r="O78" s="1" t="s">
        <v>244</v>
      </c>
      <c r="P78" t="s">
        <v>732</v>
      </c>
      <c r="Q78" t="s">
        <v>78</v>
      </c>
      <c r="R78" t="s">
        <v>50</v>
      </c>
      <c r="S78" t="s">
        <v>45</v>
      </c>
      <c r="U78" t="s">
        <v>38</v>
      </c>
      <c r="V78" s="1">
        <v>45110.628159722197</v>
      </c>
      <c r="W78" s="1" t="s">
        <v>53</v>
      </c>
      <c r="X78" t="s">
        <v>32</v>
      </c>
      <c r="Y78" s="1">
        <v>45111</v>
      </c>
      <c r="AA78" t="s">
        <v>528</v>
      </c>
      <c r="AB78" t="s">
        <v>1520</v>
      </c>
      <c r="AC78" t="str">
        <f>INDEX('DB Description'!$A$1:$B$23,MATCH(Tabela2[[#This Row],[Filial DB code]],'DB Description'!A:A,),2)</f>
        <v>Bauko</v>
      </c>
      <c r="AD78" s="9">
        <f>Tabela2[[#This Row],[Issue2]]-Tabela2[[#This Row],[Failure2]]</f>
        <v>1</v>
      </c>
      <c r="AE78" t="str">
        <f t="shared" si="15"/>
        <v>FY2023</v>
      </c>
      <c r="AF78">
        <f>YEAR(Tabela2[[#This Row],[Issue2]])</f>
        <v>2023</v>
      </c>
    </row>
    <row r="79" spans="1:32" x14ac:dyDescent="0.35">
      <c r="A79" t="s">
        <v>726</v>
      </c>
      <c r="B79" t="s">
        <v>727</v>
      </c>
      <c r="C79" t="s">
        <v>348</v>
      </c>
      <c r="D79" t="s">
        <v>81</v>
      </c>
      <c r="E79" t="s">
        <v>1847</v>
      </c>
      <c r="F79" t="s">
        <v>1883</v>
      </c>
      <c r="G79" t="s">
        <v>728</v>
      </c>
      <c r="I79">
        <v>1711</v>
      </c>
      <c r="J79" t="s">
        <v>37</v>
      </c>
      <c r="K79" s="1">
        <v>45097</v>
      </c>
      <c r="L79" s="1">
        <v>45097</v>
      </c>
      <c r="M79" s="1">
        <v>44796</v>
      </c>
      <c r="N79" s="1">
        <v>44839</v>
      </c>
      <c r="O79" s="1" t="s">
        <v>244</v>
      </c>
      <c r="P79" t="s">
        <v>245</v>
      </c>
      <c r="Q79" t="s">
        <v>78</v>
      </c>
      <c r="R79" t="s">
        <v>50</v>
      </c>
      <c r="S79" t="s">
        <v>45</v>
      </c>
      <c r="U79" t="s">
        <v>38</v>
      </c>
      <c r="V79" s="1">
        <v>45111.325937499998</v>
      </c>
      <c r="W79" s="1" t="s">
        <v>53</v>
      </c>
      <c r="X79" t="s">
        <v>32</v>
      </c>
      <c r="Y79" s="1">
        <v>45111</v>
      </c>
      <c r="Z79" s="1" t="s">
        <v>729</v>
      </c>
      <c r="AA79" t="s">
        <v>528</v>
      </c>
      <c r="AB79" t="s">
        <v>1520</v>
      </c>
      <c r="AC79" t="str">
        <f>INDEX('DB Description'!$A$1:$B$23,MATCH(Tabela2[[#This Row],[Filial DB code]],'DB Description'!A:A,),2)</f>
        <v>Bauko</v>
      </c>
      <c r="AD79" s="9">
        <f>Tabela2[[#This Row],[Issue2]]-Tabela2[[#This Row],[Failure2]]</f>
        <v>14</v>
      </c>
      <c r="AE79" t="str">
        <f t="shared" si="15"/>
        <v>FY2023</v>
      </c>
      <c r="AF79">
        <f>YEAR(Tabela2[[#This Row],[Issue2]])</f>
        <v>2023</v>
      </c>
    </row>
    <row r="80" spans="1:32" x14ac:dyDescent="0.35">
      <c r="A80" t="s">
        <v>733</v>
      </c>
      <c r="B80" t="s">
        <v>734</v>
      </c>
      <c r="C80" t="s">
        <v>348</v>
      </c>
      <c r="D80" t="s">
        <v>389</v>
      </c>
      <c r="E80" t="s">
        <v>1938</v>
      </c>
      <c r="F80" t="s">
        <v>1963</v>
      </c>
      <c r="G80" t="s">
        <v>735</v>
      </c>
      <c r="H80" t="s">
        <v>722</v>
      </c>
      <c r="I80">
        <v>262</v>
      </c>
      <c r="J80" t="s">
        <v>37</v>
      </c>
      <c r="K80" s="1">
        <v>44796</v>
      </c>
      <c r="L80" s="1"/>
      <c r="M80" s="1">
        <v>44673</v>
      </c>
      <c r="N80" s="1">
        <v>44754</v>
      </c>
      <c r="O80" s="1" t="s">
        <v>736</v>
      </c>
      <c r="P80" t="s">
        <v>737</v>
      </c>
      <c r="Q80" t="s">
        <v>42</v>
      </c>
      <c r="R80" t="s">
        <v>193</v>
      </c>
      <c r="S80" t="s">
        <v>45</v>
      </c>
      <c r="U80" t="s">
        <v>38</v>
      </c>
      <c r="V80" s="1">
        <v>45113.7261111111</v>
      </c>
      <c r="W80" s="1" t="s">
        <v>64</v>
      </c>
      <c r="X80" t="s">
        <v>32</v>
      </c>
      <c r="Y80" s="1">
        <v>45113</v>
      </c>
      <c r="AA80" t="s">
        <v>344</v>
      </c>
      <c r="AB80" t="s">
        <v>1522</v>
      </c>
      <c r="AC80" t="str">
        <f>INDEX('DB Description'!$A$1:$B$23,MATCH(Tabela2[[#This Row],[Filial DB code]],'DB Description'!A:A,),2)</f>
        <v>Mason</v>
      </c>
      <c r="AD80" s="9">
        <f>Tabela2[[#This Row],[Issue2]]-Tabela2[[#This Row],[Failure2]]</f>
        <v>317</v>
      </c>
      <c r="AE80" t="str">
        <f t="shared" si="15"/>
        <v>FY2023</v>
      </c>
      <c r="AF80">
        <f>YEAR(Tabela2[[#This Row],[Issue2]])</f>
        <v>2023</v>
      </c>
    </row>
    <row r="81" spans="1:32" x14ac:dyDescent="0.35">
      <c r="A81" t="s">
        <v>742</v>
      </c>
      <c r="B81" t="s">
        <v>743</v>
      </c>
      <c r="C81" t="s">
        <v>348</v>
      </c>
      <c r="D81" t="s">
        <v>658</v>
      </c>
      <c r="E81" t="s">
        <v>1901</v>
      </c>
      <c r="F81" t="s">
        <v>1944</v>
      </c>
      <c r="G81" t="s">
        <v>744</v>
      </c>
      <c r="I81">
        <v>1717</v>
      </c>
      <c r="J81" t="s">
        <v>332</v>
      </c>
      <c r="K81" s="1">
        <v>45113</v>
      </c>
      <c r="L81" s="1"/>
      <c r="M81" s="1">
        <v>44650</v>
      </c>
      <c r="N81" s="1">
        <v>44781</v>
      </c>
      <c r="O81" s="1" t="s">
        <v>526</v>
      </c>
      <c r="P81" t="s">
        <v>140</v>
      </c>
      <c r="Q81" t="s">
        <v>99</v>
      </c>
      <c r="R81" t="s">
        <v>40</v>
      </c>
      <c r="S81" t="s">
        <v>45</v>
      </c>
      <c r="T81" t="s">
        <v>329</v>
      </c>
      <c r="U81" t="s">
        <v>30</v>
      </c>
      <c r="V81" s="1">
        <v>45113.384733796302</v>
      </c>
      <c r="W81" s="1" t="s">
        <v>53</v>
      </c>
      <c r="X81" t="s">
        <v>32</v>
      </c>
      <c r="Y81" s="1">
        <v>45113</v>
      </c>
      <c r="Z81" s="1" t="s">
        <v>745</v>
      </c>
      <c r="AA81" t="s">
        <v>528</v>
      </c>
      <c r="AB81" t="s">
        <v>1520</v>
      </c>
      <c r="AC81" t="str">
        <f>INDEX('DB Description'!$A$1:$B$23,MATCH(Tabela2[[#This Row],[Filial DB code]],'DB Description'!A:A,),2)</f>
        <v>Bauko</v>
      </c>
      <c r="AD81" s="9">
        <f>Tabela2[[#This Row],[Issue2]]-Tabela2[[#This Row],[Failure2]]</f>
        <v>0</v>
      </c>
      <c r="AE81" t="str">
        <f t="shared" si="15"/>
        <v>FY2023</v>
      </c>
      <c r="AF81">
        <f>YEAR(Tabela2[[#This Row],[Issue2]])</f>
        <v>2023</v>
      </c>
    </row>
    <row r="82" spans="1:32" x14ac:dyDescent="0.35">
      <c r="A82" t="s">
        <v>738</v>
      </c>
      <c r="B82" t="s">
        <v>739</v>
      </c>
      <c r="C82" t="s">
        <v>348</v>
      </c>
      <c r="D82" t="s">
        <v>177</v>
      </c>
      <c r="E82" t="s">
        <v>1866</v>
      </c>
      <c r="F82" t="s">
        <v>1962</v>
      </c>
      <c r="G82" t="s">
        <v>740</v>
      </c>
      <c r="I82">
        <v>1341</v>
      </c>
      <c r="J82" t="s">
        <v>37</v>
      </c>
      <c r="K82" s="1">
        <v>45112</v>
      </c>
      <c r="L82" s="1"/>
      <c r="M82" s="1">
        <v>44762</v>
      </c>
      <c r="N82" s="1">
        <v>44797</v>
      </c>
      <c r="O82" s="1" t="s">
        <v>741</v>
      </c>
      <c r="P82" t="s">
        <v>103</v>
      </c>
      <c r="Q82" t="s">
        <v>125</v>
      </c>
      <c r="R82" t="s">
        <v>40</v>
      </c>
      <c r="S82" t="s">
        <v>45</v>
      </c>
      <c r="U82" t="s">
        <v>38</v>
      </c>
      <c r="V82" s="1">
        <v>45113.678263888898</v>
      </c>
      <c r="W82" s="1" t="s">
        <v>53</v>
      </c>
      <c r="X82" t="s">
        <v>32</v>
      </c>
      <c r="Y82" s="1">
        <v>45113</v>
      </c>
      <c r="AA82" t="s">
        <v>403</v>
      </c>
      <c r="AB82" t="s">
        <v>1512</v>
      </c>
      <c r="AC82" t="str">
        <f>INDEX('DB Description'!$A$1:$B$23,MATCH(Tabela2[[#This Row],[Filial DB code]],'DB Description'!A:A,),2)</f>
        <v>Bauko</v>
      </c>
      <c r="AD82" s="9">
        <f>Tabela2[[#This Row],[Issue2]]-Tabela2[[#This Row],[Failure2]]</f>
        <v>1</v>
      </c>
      <c r="AE82" t="str">
        <f t="shared" si="15"/>
        <v>FY2023</v>
      </c>
      <c r="AF82">
        <f>YEAR(Tabela2[[#This Row],[Issue2]])</f>
        <v>2023</v>
      </c>
    </row>
    <row r="83" spans="1:32" x14ac:dyDescent="0.35">
      <c r="A83" t="s">
        <v>751</v>
      </c>
      <c r="B83" t="s">
        <v>752</v>
      </c>
      <c r="C83" t="s">
        <v>348</v>
      </c>
      <c r="D83" t="s">
        <v>753</v>
      </c>
      <c r="E83" t="s">
        <v>1847</v>
      </c>
      <c r="F83" t="s">
        <v>1883</v>
      </c>
      <c r="G83" t="s">
        <v>754</v>
      </c>
      <c r="I83">
        <v>226.5</v>
      </c>
      <c r="J83" t="s">
        <v>154</v>
      </c>
      <c r="K83" s="1">
        <v>45120</v>
      </c>
      <c r="L83" s="1"/>
      <c r="M83" s="1">
        <v>44848</v>
      </c>
      <c r="O83" s="1" t="s">
        <v>244</v>
      </c>
      <c r="P83" t="s">
        <v>338</v>
      </c>
      <c r="Q83" t="s">
        <v>78</v>
      </c>
      <c r="R83" t="s">
        <v>50</v>
      </c>
      <c r="S83" t="s">
        <v>45</v>
      </c>
      <c r="T83" t="s">
        <v>415</v>
      </c>
      <c r="U83" t="s">
        <v>409</v>
      </c>
      <c r="V83" s="1">
        <v>45131.461770833303</v>
      </c>
      <c r="W83" s="1" t="s">
        <v>53</v>
      </c>
      <c r="X83" t="s">
        <v>32</v>
      </c>
      <c r="Y83" s="1">
        <v>45131</v>
      </c>
      <c r="AA83" t="s">
        <v>749</v>
      </c>
      <c r="AB83" t="s">
        <v>1512</v>
      </c>
      <c r="AC83" t="str">
        <f>INDEX('DB Description'!$A$1:$B$23,MATCH(Tabela2[[#This Row],[Filial DB code]],'DB Description'!A:A,),2)</f>
        <v>Bauko</v>
      </c>
      <c r="AD83" s="9">
        <f>Tabela2[[#This Row],[Issue2]]-Tabela2[[#This Row],[Failure2]]</f>
        <v>11</v>
      </c>
      <c r="AE83" t="str">
        <f t="shared" ref="AE83:AE85" si="16">"FY"&amp;IF(MONTH(Y83)&gt;=4,YEAR(Y83),YEAR(Y83)-1)</f>
        <v>FY2023</v>
      </c>
      <c r="AF83">
        <f>YEAR(Tabela2[[#This Row],[Issue2]])</f>
        <v>2023</v>
      </c>
    </row>
    <row r="84" spans="1:32" x14ac:dyDescent="0.35">
      <c r="A84" t="s">
        <v>755</v>
      </c>
      <c r="B84" t="s">
        <v>756</v>
      </c>
      <c r="C84" t="s">
        <v>348</v>
      </c>
      <c r="D84" t="s">
        <v>757</v>
      </c>
      <c r="E84" t="s">
        <v>1901</v>
      </c>
      <c r="F84" t="s">
        <v>1905</v>
      </c>
      <c r="G84" t="s">
        <v>758</v>
      </c>
      <c r="I84">
        <v>13</v>
      </c>
      <c r="J84" t="s">
        <v>37</v>
      </c>
      <c r="K84" s="1">
        <v>45125</v>
      </c>
      <c r="L84" s="1"/>
      <c r="M84" s="1">
        <v>45072</v>
      </c>
      <c r="N84" s="1">
        <v>45125</v>
      </c>
      <c r="O84" s="1" t="s">
        <v>231</v>
      </c>
      <c r="P84" t="s">
        <v>687</v>
      </c>
      <c r="Q84" t="s">
        <v>116</v>
      </c>
      <c r="R84" t="s">
        <v>229</v>
      </c>
      <c r="S84" t="s">
        <v>45</v>
      </c>
      <c r="U84" t="s">
        <v>38</v>
      </c>
      <c r="V84" s="1">
        <v>45133.504965277803</v>
      </c>
      <c r="W84" s="1" t="s">
        <v>53</v>
      </c>
      <c r="X84" t="s">
        <v>32</v>
      </c>
      <c r="Y84" s="1">
        <v>45133</v>
      </c>
      <c r="AA84" t="s">
        <v>397</v>
      </c>
      <c r="AB84" t="s">
        <v>243</v>
      </c>
      <c r="AC84" t="str">
        <f>INDEX('DB Description'!$A$1:$B$23,MATCH(Tabela2[[#This Row],[Filial DB code]],'DB Description'!A:A,),2)</f>
        <v>Bauko</v>
      </c>
      <c r="AD84" s="9">
        <f>Tabela2[[#This Row],[Issue2]]-Tabela2[[#This Row],[Failure2]]</f>
        <v>8</v>
      </c>
      <c r="AE84" t="str">
        <f t="shared" si="16"/>
        <v>FY2023</v>
      </c>
      <c r="AF84">
        <f>YEAR(Tabela2[[#This Row],[Issue2]])</f>
        <v>2023</v>
      </c>
    </row>
    <row r="85" spans="1:32" x14ac:dyDescent="0.35">
      <c r="A85" t="s">
        <v>760</v>
      </c>
      <c r="B85" t="s">
        <v>761</v>
      </c>
      <c r="C85" t="s">
        <v>348</v>
      </c>
      <c r="D85" t="s">
        <v>762</v>
      </c>
      <c r="E85" t="s">
        <v>1846</v>
      </c>
      <c r="F85" t="s">
        <v>1919</v>
      </c>
      <c r="G85" t="s">
        <v>763</v>
      </c>
      <c r="I85">
        <v>1560</v>
      </c>
      <c r="J85" t="s">
        <v>37</v>
      </c>
      <c r="K85" s="1">
        <v>45133</v>
      </c>
      <c r="L85" s="1"/>
      <c r="M85" s="1">
        <v>44760</v>
      </c>
      <c r="N85" s="1">
        <v>44861</v>
      </c>
      <c r="O85" s="1" t="s">
        <v>764</v>
      </c>
      <c r="P85" t="s">
        <v>133</v>
      </c>
      <c r="Q85" t="s">
        <v>99</v>
      </c>
      <c r="R85" t="s">
        <v>40</v>
      </c>
      <c r="S85" t="s">
        <v>45</v>
      </c>
      <c r="U85" t="s">
        <v>38</v>
      </c>
      <c r="V85" s="1">
        <v>45134.372499999998</v>
      </c>
      <c r="W85" s="1" t="s">
        <v>53</v>
      </c>
      <c r="X85" t="s">
        <v>32</v>
      </c>
      <c r="Y85" s="1">
        <v>45134</v>
      </c>
      <c r="Z85" s="1" t="s">
        <v>765</v>
      </c>
      <c r="AA85" t="s">
        <v>528</v>
      </c>
      <c r="AB85" t="s">
        <v>1520</v>
      </c>
      <c r="AC85" t="str">
        <f>INDEX('DB Description'!$A$1:$B$23,MATCH(Tabela2[[#This Row],[Filial DB code]],'DB Description'!A:A,),2)</f>
        <v>Bauko</v>
      </c>
      <c r="AD85" s="9">
        <f>Tabela2[[#This Row],[Issue2]]-Tabela2[[#This Row],[Failure2]]</f>
        <v>1</v>
      </c>
      <c r="AE85" t="str">
        <f t="shared" si="16"/>
        <v>FY2023</v>
      </c>
      <c r="AF85">
        <f>YEAR(Tabela2[[#This Row],[Issue2]])</f>
        <v>2023</v>
      </c>
    </row>
    <row r="86" spans="1:32" x14ac:dyDescent="0.35">
      <c r="A86" t="s">
        <v>773</v>
      </c>
      <c r="B86" t="s">
        <v>774</v>
      </c>
      <c r="C86" t="s">
        <v>348</v>
      </c>
      <c r="D86" t="s">
        <v>379</v>
      </c>
      <c r="E86" t="s">
        <v>1846</v>
      </c>
      <c r="F86" t="s">
        <v>1905</v>
      </c>
      <c r="G86" t="s">
        <v>775</v>
      </c>
      <c r="I86">
        <v>1579</v>
      </c>
      <c r="J86" t="s">
        <v>37</v>
      </c>
      <c r="K86" s="1">
        <v>45114</v>
      </c>
      <c r="L86" s="1">
        <v>45126</v>
      </c>
      <c r="M86" s="1">
        <v>44683</v>
      </c>
      <c r="N86" s="1">
        <v>44713</v>
      </c>
      <c r="O86" s="1" t="s">
        <v>776</v>
      </c>
      <c r="P86" t="s">
        <v>133</v>
      </c>
      <c r="Q86" t="s">
        <v>204</v>
      </c>
      <c r="R86" t="s">
        <v>193</v>
      </c>
      <c r="S86" t="s">
        <v>45</v>
      </c>
      <c r="U86" t="s">
        <v>38</v>
      </c>
      <c r="V86" s="1">
        <v>45135.417106481502</v>
      </c>
      <c r="W86" s="1" t="s">
        <v>46</v>
      </c>
      <c r="X86" t="s">
        <v>32</v>
      </c>
      <c r="Y86" s="1">
        <v>45135</v>
      </c>
      <c r="Z86" s="1" t="s">
        <v>777</v>
      </c>
      <c r="AA86" t="s">
        <v>543</v>
      </c>
      <c r="AB86" t="s">
        <v>1518</v>
      </c>
      <c r="AC86" t="str">
        <f>INDEX('DB Description'!$A$1:$B$23,MATCH(Tabela2[[#This Row],[Filial DB code]],'DB Description'!A:A,),2)</f>
        <v xml:space="preserve">Vianmaq </v>
      </c>
      <c r="AD86" s="9">
        <f>Tabela2[[#This Row],[Issue2]]-Tabela2[[#This Row],[Failure2]]</f>
        <v>21</v>
      </c>
      <c r="AE86" t="str">
        <f t="shared" ref="AE86:AE88" si="17">"FY"&amp;IF(MONTH(Y86)&gt;=4,YEAR(Y86),YEAR(Y86)-1)</f>
        <v>FY2023</v>
      </c>
      <c r="AF86">
        <f>YEAR(Tabela2[[#This Row],[Issue2]])</f>
        <v>2023</v>
      </c>
    </row>
    <row r="87" spans="1:32" x14ac:dyDescent="0.35">
      <c r="A87" t="s">
        <v>766</v>
      </c>
      <c r="B87" t="s">
        <v>767</v>
      </c>
      <c r="C87" t="s">
        <v>348</v>
      </c>
      <c r="D87" t="s">
        <v>768</v>
      </c>
      <c r="E87" t="s">
        <v>1858</v>
      </c>
      <c r="F87" t="s">
        <v>1918</v>
      </c>
      <c r="G87" t="s">
        <v>769</v>
      </c>
      <c r="I87">
        <v>241.6</v>
      </c>
      <c r="J87" t="s">
        <v>37</v>
      </c>
      <c r="K87" s="1">
        <v>45105</v>
      </c>
      <c r="L87" s="1">
        <v>45128</v>
      </c>
      <c r="M87" s="1">
        <v>44739</v>
      </c>
      <c r="N87" s="1">
        <v>44764</v>
      </c>
      <c r="O87" s="1" t="s">
        <v>770</v>
      </c>
      <c r="P87" t="s">
        <v>771</v>
      </c>
      <c r="Q87" t="s">
        <v>204</v>
      </c>
      <c r="R87" t="s">
        <v>304</v>
      </c>
      <c r="S87" t="s">
        <v>45</v>
      </c>
      <c r="U87" t="s">
        <v>38</v>
      </c>
      <c r="V87" s="1">
        <v>45135.653668981497</v>
      </c>
      <c r="W87" s="1" t="s">
        <v>46</v>
      </c>
      <c r="X87" t="s">
        <v>32</v>
      </c>
      <c r="Y87" s="1">
        <v>45135</v>
      </c>
      <c r="Z87" s="1" t="s">
        <v>772</v>
      </c>
      <c r="AA87" t="s">
        <v>543</v>
      </c>
      <c r="AB87" t="s">
        <v>1518</v>
      </c>
      <c r="AC87" t="str">
        <f>INDEX('DB Description'!$A$1:$B$23,MATCH(Tabela2[[#This Row],[Filial DB code]],'DB Description'!A:A,),2)</f>
        <v xml:space="preserve">Vianmaq </v>
      </c>
      <c r="AD87" s="9">
        <f>Tabela2[[#This Row],[Issue2]]-Tabela2[[#This Row],[Failure2]]</f>
        <v>30</v>
      </c>
      <c r="AE87" t="str">
        <f t="shared" si="17"/>
        <v>FY2023</v>
      </c>
      <c r="AF87">
        <f>YEAR(Tabela2[[#This Row],[Issue2]])</f>
        <v>2023</v>
      </c>
    </row>
    <row r="88" spans="1:32" x14ac:dyDescent="0.35">
      <c r="A88" t="s">
        <v>779</v>
      </c>
      <c r="B88" t="s">
        <v>780</v>
      </c>
      <c r="C88" t="s">
        <v>348</v>
      </c>
      <c r="D88" t="s">
        <v>208</v>
      </c>
      <c r="E88" t="s">
        <v>1894</v>
      </c>
      <c r="F88" t="s">
        <v>1953</v>
      </c>
      <c r="G88" t="s">
        <v>781</v>
      </c>
      <c r="I88">
        <v>1262</v>
      </c>
      <c r="J88" t="s">
        <v>37</v>
      </c>
      <c r="K88" s="1">
        <v>45125</v>
      </c>
      <c r="L88" s="1"/>
      <c r="M88" s="1">
        <v>44762</v>
      </c>
      <c r="N88" s="1">
        <v>44784</v>
      </c>
      <c r="O88" s="1" t="s">
        <v>635</v>
      </c>
      <c r="P88" t="s">
        <v>133</v>
      </c>
      <c r="Q88" t="s">
        <v>204</v>
      </c>
      <c r="R88" t="s">
        <v>304</v>
      </c>
      <c r="S88" t="s">
        <v>45</v>
      </c>
      <c r="U88" t="s">
        <v>38</v>
      </c>
      <c r="V88" s="1">
        <v>45146.738634259302</v>
      </c>
      <c r="W88" s="1" t="s">
        <v>46</v>
      </c>
      <c r="X88" t="s">
        <v>32</v>
      </c>
      <c r="Y88" s="1">
        <v>45146</v>
      </c>
      <c r="Z88" s="1" t="s">
        <v>782</v>
      </c>
      <c r="AA88" t="s">
        <v>543</v>
      </c>
      <c r="AB88" t="s">
        <v>1518</v>
      </c>
      <c r="AC88" t="str">
        <f>INDEX('DB Description'!$A$1:$B$23,MATCH(Tabela2[[#This Row],[Filial DB code]],'DB Description'!A:A,),2)</f>
        <v xml:space="preserve">Vianmaq </v>
      </c>
      <c r="AD88" s="9">
        <f>Tabela2[[#This Row],[Issue2]]-Tabela2[[#This Row],[Failure2]]</f>
        <v>21</v>
      </c>
      <c r="AE88" t="str">
        <f t="shared" si="17"/>
        <v>FY2023</v>
      </c>
      <c r="AF88">
        <f>YEAR(Tabela2[[#This Row],[Issue2]])</f>
        <v>2023</v>
      </c>
    </row>
    <row r="89" spans="1:32" x14ac:dyDescent="0.35">
      <c r="A89" t="s">
        <v>790</v>
      </c>
      <c r="B89" t="s">
        <v>791</v>
      </c>
      <c r="C89" t="s">
        <v>348</v>
      </c>
      <c r="D89" t="s">
        <v>651</v>
      </c>
      <c r="E89" t="s">
        <v>1894</v>
      </c>
      <c r="F89" t="s">
        <v>1919</v>
      </c>
      <c r="G89" t="s">
        <v>792</v>
      </c>
      <c r="I89">
        <v>528</v>
      </c>
      <c r="J89" t="s">
        <v>37</v>
      </c>
      <c r="K89" s="1">
        <v>45153</v>
      </c>
      <c r="L89" s="1"/>
      <c r="M89" s="1">
        <v>44894</v>
      </c>
      <c r="N89" s="1">
        <v>45062</v>
      </c>
      <c r="O89" s="1" t="s">
        <v>194</v>
      </c>
      <c r="P89" t="s">
        <v>77</v>
      </c>
      <c r="Q89" t="s">
        <v>65</v>
      </c>
      <c r="R89" t="s">
        <v>50</v>
      </c>
      <c r="S89" t="s">
        <v>45</v>
      </c>
      <c r="U89" t="s">
        <v>38</v>
      </c>
      <c r="V89" s="1">
        <v>45166.436874999999</v>
      </c>
      <c r="W89" s="1" t="s">
        <v>53</v>
      </c>
      <c r="X89" t="s">
        <v>32</v>
      </c>
      <c r="Y89" s="1">
        <v>45166</v>
      </c>
      <c r="Z89" s="1" t="s">
        <v>793</v>
      </c>
      <c r="AA89" t="s">
        <v>528</v>
      </c>
      <c r="AB89" t="s">
        <v>1520</v>
      </c>
      <c r="AC89" t="str">
        <f>INDEX('DB Description'!$A$1:$B$23,MATCH(Tabela2[[#This Row],[Filial DB code]],'DB Description'!A:A,),2)</f>
        <v>Bauko</v>
      </c>
      <c r="AD89" s="9">
        <f>Tabela2[[#This Row],[Issue2]]-Tabela2[[#This Row],[Failure2]]</f>
        <v>13</v>
      </c>
      <c r="AE89" t="str">
        <f t="shared" ref="AE89:AE91" si="18">"FY"&amp;IF(MONTH(Y89)&gt;=4,YEAR(Y89),YEAR(Y89)-1)</f>
        <v>FY2023</v>
      </c>
      <c r="AF89">
        <f>YEAR(Tabela2[[#This Row],[Issue2]])</f>
        <v>2023</v>
      </c>
    </row>
    <row r="90" spans="1:32" x14ac:dyDescent="0.35">
      <c r="A90" t="s">
        <v>794</v>
      </c>
      <c r="B90" t="s">
        <v>795</v>
      </c>
      <c r="C90" t="s">
        <v>348</v>
      </c>
      <c r="D90" t="s">
        <v>280</v>
      </c>
      <c r="E90" t="s">
        <v>1853</v>
      </c>
      <c r="F90" t="s">
        <v>1852</v>
      </c>
      <c r="G90" t="s">
        <v>796</v>
      </c>
      <c r="I90">
        <v>47</v>
      </c>
      <c r="J90" t="s">
        <v>154</v>
      </c>
      <c r="K90" s="1">
        <v>44965</v>
      </c>
      <c r="L90" s="1">
        <v>44965</v>
      </c>
      <c r="M90" s="1">
        <v>45092</v>
      </c>
      <c r="O90" s="1" t="s">
        <v>400</v>
      </c>
      <c r="P90" t="s">
        <v>401</v>
      </c>
      <c r="Q90" t="s">
        <v>204</v>
      </c>
      <c r="R90" t="s">
        <v>223</v>
      </c>
      <c r="S90" t="s">
        <v>45</v>
      </c>
      <c r="T90" t="s">
        <v>415</v>
      </c>
      <c r="U90" t="s">
        <v>409</v>
      </c>
      <c r="V90" s="1">
        <v>45167.513090277796</v>
      </c>
      <c r="W90" s="1" t="s">
        <v>53</v>
      </c>
      <c r="X90" t="s">
        <v>32</v>
      </c>
      <c r="Y90" s="1">
        <v>45167</v>
      </c>
      <c r="AA90" t="s">
        <v>705</v>
      </c>
      <c r="AB90" t="s">
        <v>243</v>
      </c>
      <c r="AC90" t="str">
        <f>INDEX('DB Description'!$A$1:$B$23,MATCH(Tabela2[[#This Row],[Filial DB code]],'DB Description'!A:A,),2)</f>
        <v>Bauko</v>
      </c>
      <c r="AD90" s="9">
        <f>Tabela2[[#This Row],[Issue2]]-Tabela2[[#This Row],[Failure2]]</f>
        <v>202</v>
      </c>
      <c r="AE90" t="str">
        <f t="shared" si="18"/>
        <v>FY2023</v>
      </c>
      <c r="AF90">
        <f>YEAR(Tabela2[[#This Row],[Issue2]])</f>
        <v>2023</v>
      </c>
    </row>
    <row r="91" spans="1:32" x14ac:dyDescent="0.35">
      <c r="A91" t="s">
        <v>797</v>
      </c>
      <c r="B91" t="s">
        <v>798</v>
      </c>
      <c r="C91" t="s">
        <v>348</v>
      </c>
      <c r="D91" t="s">
        <v>252</v>
      </c>
      <c r="E91" t="s">
        <v>1878</v>
      </c>
      <c r="F91" t="s">
        <v>1942</v>
      </c>
      <c r="G91" t="s">
        <v>799</v>
      </c>
      <c r="I91">
        <v>4.9000000000000004</v>
      </c>
      <c r="J91" t="s">
        <v>332</v>
      </c>
      <c r="K91" s="1">
        <v>45173</v>
      </c>
      <c r="L91" s="1"/>
      <c r="M91" s="1">
        <v>45107</v>
      </c>
      <c r="O91" s="1" t="s">
        <v>326</v>
      </c>
      <c r="P91" t="s">
        <v>209</v>
      </c>
      <c r="Q91" t="s">
        <v>116</v>
      </c>
      <c r="R91" t="s">
        <v>223</v>
      </c>
      <c r="S91" t="s">
        <v>45</v>
      </c>
      <c r="T91" t="s">
        <v>329</v>
      </c>
      <c r="U91" t="s">
        <v>30</v>
      </c>
      <c r="V91" s="1">
        <v>45183.363402777803</v>
      </c>
      <c r="W91" s="1" t="s">
        <v>53</v>
      </c>
      <c r="X91" t="s">
        <v>32</v>
      </c>
      <c r="Y91" s="1">
        <v>45183</v>
      </c>
      <c r="Z91" s="1" t="s">
        <v>800</v>
      </c>
      <c r="AA91" t="s">
        <v>528</v>
      </c>
      <c r="AB91" t="s">
        <v>1520</v>
      </c>
      <c r="AC91" t="str">
        <f>INDEX('DB Description'!$A$1:$B$23,MATCH(Tabela2[[#This Row],[Filial DB code]],'DB Description'!A:A,),2)</f>
        <v>Bauko</v>
      </c>
      <c r="AD91" s="9">
        <f>Tabela2[[#This Row],[Issue2]]-Tabela2[[#This Row],[Failure2]]</f>
        <v>10</v>
      </c>
      <c r="AE91" t="str">
        <f t="shared" si="18"/>
        <v>FY2023</v>
      </c>
      <c r="AF91">
        <f>YEAR(Tabela2[[#This Row],[Issue2]])</f>
        <v>2023</v>
      </c>
    </row>
    <row r="92" spans="1:32" x14ac:dyDescent="0.35">
      <c r="A92" t="s">
        <v>802</v>
      </c>
      <c r="B92" t="s">
        <v>803</v>
      </c>
      <c r="C92" t="s">
        <v>348</v>
      </c>
      <c r="D92" t="s">
        <v>290</v>
      </c>
      <c r="E92" t="s">
        <v>1895</v>
      </c>
      <c r="F92" t="s">
        <v>1875</v>
      </c>
      <c r="G92" t="s">
        <v>804</v>
      </c>
      <c r="I92">
        <v>17</v>
      </c>
      <c r="J92" t="s">
        <v>37</v>
      </c>
      <c r="K92" s="1">
        <v>45173</v>
      </c>
      <c r="L92" s="1">
        <v>45173</v>
      </c>
      <c r="M92" s="1">
        <v>45127</v>
      </c>
      <c r="O92" s="1" t="s">
        <v>805</v>
      </c>
      <c r="P92" t="s">
        <v>371</v>
      </c>
      <c r="Q92" t="s">
        <v>204</v>
      </c>
      <c r="R92" t="s">
        <v>193</v>
      </c>
      <c r="S92" t="s">
        <v>45</v>
      </c>
      <c r="U92" t="s">
        <v>38</v>
      </c>
      <c r="V92" s="1">
        <v>45190.452881944402</v>
      </c>
      <c r="W92" s="1" t="s">
        <v>46</v>
      </c>
      <c r="X92" t="s">
        <v>32</v>
      </c>
      <c r="Y92" s="1">
        <v>45190</v>
      </c>
      <c r="Z92" s="1" t="s">
        <v>806</v>
      </c>
      <c r="AA92" t="s">
        <v>543</v>
      </c>
      <c r="AB92" t="s">
        <v>1518</v>
      </c>
      <c r="AC92" t="str">
        <f>INDEX('DB Description'!$A$1:$B$23,MATCH(Tabela2[[#This Row],[Filial DB code]],'DB Description'!A:A,),2)</f>
        <v xml:space="preserve">Vianmaq </v>
      </c>
      <c r="AD92" s="9">
        <f>Tabela2[[#This Row],[Issue2]]-Tabela2[[#This Row],[Failure2]]</f>
        <v>17</v>
      </c>
      <c r="AE92" t="str">
        <f t="shared" ref="AE92:AE98" si="19">"FY"&amp;IF(MONTH(Y92)&gt;=4,YEAR(Y92),YEAR(Y92)-1)</f>
        <v>FY2023</v>
      </c>
      <c r="AF92">
        <f>YEAR(Tabela2[[#This Row],[Issue2]])</f>
        <v>2023</v>
      </c>
    </row>
    <row r="93" spans="1:32" x14ac:dyDescent="0.35">
      <c r="A93" t="s">
        <v>808</v>
      </c>
      <c r="B93" t="s">
        <v>809</v>
      </c>
      <c r="C93" t="s">
        <v>348</v>
      </c>
      <c r="D93" t="s">
        <v>810</v>
      </c>
      <c r="E93" t="s">
        <v>1873</v>
      </c>
      <c r="F93" t="s">
        <v>1954</v>
      </c>
      <c r="G93" t="s">
        <v>811</v>
      </c>
      <c r="I93">
        <v>7</v>
      </c>
      <c r="J93" t="s">
        <v>37</v>
      </c>
      <c r="K93" s="1">
        <v>45169</v>
      </c>
      <c r="L93" s="1">
        <v>45170</v>
      </c>
      <c r="M93" s="1">
        <v>45131</v>
      </c>
      <c r="O93" s="1" t="s">
        <v>812</v>
      </c>
      <c r="P93" t="s">
        <v>200</v>
      </c>
      <c r="Q93" t="s">
        <v>94</v>
      </c>
      <c r="R93" t="s">
        <v>50</v>
      </c>
      <c r="S93" t="s">
        <v>45</v>
      </c>
      <c r="U93" t="s">
        <v>38</v>
      </c>
      <c r="V93" s="1">
        <v>45194.580844907403</v>
      </c>
      <c r="W93" s="1" t="s">
        <v>64</v>
      </c>
      <c r="X93" t="s">
        <v>32</v>
      </c>
      <c r="Y93" s="1">
        <v>45194</v>
      </c>
      <c r="Z93" s="1" t="s">
        <v>788</v>
      </c>
      <c r="AA93" t="s">
        <v>807</v>
      </c>
      <c r="AB93" t="s">
        <v>1514</v>
      </c>
      <c r="AC93" t="str">
        <f>INDEX('DB Description'!$A$1:$B$23,MATCH(Tabela2[[#This Row],[Filial DB code]],'DB Description'!A:A,),2)</f>
        <v>Mason</v>
      </c>
      <c r="AD93" s="9">
        <f>Tabela2[[#This Row],[Issue2]]-Tabela2[[#This Row],[Failure2]]</f>
        <v>25</v>
      </c>
      <c r="AE93" t="str">
        <f t="shared" si="19"/>
        <v>FY2023</v>
      </c>
      <c r="AF93">
        <f>YEAR(Tabela2[[#This Row],[Issue2]])</f>
        <v>2023</v>
      </c>
    </row>
    <row r="94" spans="1:32" x14ac:dyDescent="0.35">
      <c r="A94" t="s">
        <v>817</v>
      </c>
      <c r="B94" t="s">
        <v>818</v>
      </c>
      <c r="C94" t="s">
        <v>348</v>
      </c>
      <c r="D94" t="s">
        <v>611</v>
      </c>
      <c r="E94" t="s">
        <v>1901</v>
      </c>
      <c r="F94" t="s">
        <v>1922</v>
      </c>
      <c r="G94" t="s">
        <v>819</v>
      </c>
      <c r="I94">
        <v>2028</v>
      </c>
      <c r="J94" t="s">
        <v>47</v>
      </c>
      <c r="K94" s="1">
        <v>45133</v>
      </c>
      <c r="L94" s="1"/>
      <c r="M94" s="1">
        <v>44701</v>
      </c>
      <c r="N94" s="1">
        <v>44774</v>
      </c>
      <c r="O94" s="1" t="s">
        <v>764</v>
      </c>
      <c r="P94" t="s">
        <v>133</v>
      </c>
      <c r="Q94" t="s">
        <v>99</v>
      </c>
      <c r="R94" t="s">
        <v>50</v>
      </c>
      <c r="S94" t="s">
        <v>45</v>
      </c>
      <c r="T94" t="s">
        <v>329</v>
      </c>
      <c r="U94" t="s">
        <v>30</v>
      </c>
      <c r="V94" s="1">
        <v>45134.368148148104</v>
      </c>
      <c r="W94" s="1" t="s">
        <v>53</v>
      </c>
      <c r="X94" t="s">
        <v>32</v>
      </c>
      <c r="Y94" s="1">
        <v>45196</v>
      </c>
      <c r="Z94" s="1" t="s">
        <v>816</v>
      </c>
      <c r="AA94" t="s">
        <v>528</v>
      </c>
      <c r="AB94" t="s">
        <v>1520</v>
      </c>
      <c r="AC94" t="str">
        <f>INDEX('DB Description'!$A$1:$B$23,MATCH(Tabela2[[#This Row],[Filial DB code]],'DB Description'!A:A,),2)</f>
        <v>Bauko</v>
      </c>
      <c r="AD94" s="9">
        <f>Tabela2[[#This Row],[Issue2]]-Tabela2[[#This Row],[Failure2]]</f>
        <v>63</v>
      </c>
      <c r="AE94" t="str">
        <f t="shared" si="19"/>
        <v>FY2023</v>
      </c>
      <c r="AF94">
        <f>YEAR(Tabela2[[#This Row],[Issue2]])</f>
        <v>2023</v>
      </c>
    </row>
    <row r="95" spans="1:32" x14ac:dyDescent="0.35">
      <c r="A95" t="s">
        <v>813</v>
      </c>
      <c r="B95" t="s">
        <v>814</v>
      </c>
      <c r="C95" t="s">
        <v>348</v>
      </c>
      <c r="D95" t="s">
        <v>274</v>
      </c>
      <c r="E95" t="s">
        <v>1901</v>
      </c>
      <c r="F95" t="s">
        <v>1919</v>
      </c>
      <c r="G95" t="s">
        <v>815</v>
      </c>
      <c r="I95">
        <v>1727</v>
      </c>
      <c r="J95" t="s">
        <v>37</v>
      </c>
      <c r="K95" s="1">
        <v>45133</v>
      </c>
      <c r="L95" s="1">
        <v>45133</v>
      </c>
      <c r="M95" s="1">
        <v>44830</v>
      </c>
      <c r="N95" s="1">
        <v>44861</v>
      </c>
      <c r="O95" s="1" t="s">
        <v>194</v>
      </c>
      <c r="P95" t="s">
        <v>133</v>
      </c>
      <c r="Q95" t="s">
        <v>99</v>
      </c>
      <c r="R95" t="s">
        <v>50</v>
      </c>
      <c r="S95" t="s">
        <v>45</v>
      </c>
      <c r="U95" t="s">
        <v>38</v>
      </c>
      <c r="V95" s="1">
        <v>45134.383657407401</v>
      </c>
      <c r="W95" s="1" t="s">
        <v>53</v>
      </c>
      <c r="X95" t="s">
        <v>32</v>
      </c>
      <c r="Y95" s="1">
        <v>45196</v>
      </c>
      <c r="Z95" s="1" t="s">
        <v>816</v>
      </c>
      <c r="AA95" t="s">
        <v>528</v>
      </c>
      <c r="AB95" t="s">
        <v>1520</v>
      </c>
      <c r="AC95" t="str">
        <f>INDEX('DB Description'!$A$1:$B$23,MATCH(Tabela2[[#This Row],[Filial DB code]],'DB Description'!A:A,),2)</f>
        <v>Bauko</v>
      </c>
      <c r="AD95" s="9">
        <f>Tabela2[[#This Row],[Issue2]]-Tabela2[[#This Row],[Failure2]]</f>
        <v>63</v>
      </c>
      <c r="AE95" t="str">
        <f t="shared" si="19"/>
        <v>FY2023</v>
      </c>
      <c r="AF95">
        <f>YEAR(Tabela2[[#This Row],[Issue2]])</f>
        <v>2023</v>
      </c>
    </row>
    <row r="96" spans="1:32" x14ac:dyDescent="0.35">
      <c r="A96" t="s">
        <v>820</v>
      </c>
      <c r="B96" t="s">
        <v>821</v>
      </c>
      <c r="C96" t="s">
        <v>348</v>
      </c>
      <c r="D96" t="s">
        <v>197</v>
      </c>
      <c r="E96" t="s">
        <v>1894</v>
      </c>
      <c r="F96" t="s">
        <v>1913</v>
      </c>
      <c r="G96" t="s">
        <v>822</v>
      </c>
      <c r="I96">
        <v>759</v>
      </c>
      <c r="J96" t="s">
        <v>37</v>
      </c>
      <c r="K96" s="1">
        <v>45110</v>
      </c>
      <c r="L96" s="1">
        <v>45121</v>
      </c>
      <c r="M96" s="1">
        <v>44799</v>
      </c>
      <c r="O96" s="1" t="s">
        <v>823</v>
      </c>
      <c r="P96" t="s">
        <v>133</v>
      </c>
      <c r="Q96" t="s">
        <v>116</v>
      </c>
      <c r="R96" t="s">
        <v>193</v>
      </c>
      <c r="S96" t="s">
        <v>45</v>
      </c>
      <c r="U96" t="s">
        <v>38</v>
      </c>
      <c r="V96" s="1">
        <v>45197.665011574099</v>
      </c>
      <c r="W96" s="1" t="s">
        <v>53</v>
      </c>
      <c r="X96" t="s">
        <v>32</v>
      </c>
      <c r="Y96" s="1">
        <v>45197</v>
      </c>
      <c r="AA96" t="s">
        <v>705</v>
      </c>
      <c r="AB96" t="s">
        <v>243</v>
      </c>
      <c r="AC96" t="str">
        <f>INDEX('DB Description'!$A$1:$B$23,MATCH(Tabela2[[#This Row],[Filial DB code]],'DB Description'!A:A,),2)</f>
        <v>Bauko</v>
      </c>
      <c r="AD96" s="9">
        <f>Tabela2[[#This Row],[Issue2]]-Tabela2[[#This Row],[Failure2]]</f>
        <v>87</v>
      </c>
      <c r="AE96" t="str">
        <f t="shared" si="19"/>
        <v>FY2023</v>
      </c>
      <c r="AF96">
        <f>YEAR(Tabela2[[#This Row],[Issue2]])</f>
        <v>2023</v>
      </c>
    </row>
    <row r="97" spans="1:32" x14ac:dyDescent="0.35">
      <c r="A97" t="s">
        <v>824</v>
      </c>
      <c r="B97" t="s">
        <v>825</v>
      </c>
      <c r="C97" t="s">
        <v>348</v>
      </c>
      <c r="D97" t="s">
        <v>252</v>
      </c>
      <c r="E97" t="s">
        <v>1853</v>
      </c>
      <c r="F97" t="s">
        <v>1852</v>
      </c>
      <c r="I97">
        <v>4.7</v>
      </c>
      <c r="J97" t="s">
        <v>154</v>
      </c>
      <c r="K97" s="1">
        <v>45169</v>
      </c>
      <c r="L97" s="1">
        <v>45169</v>
      </c>
      <c r="M97" s="1">
        <v>45107</v>
      </c>
      <c r="N97" s="1">
        <v>45174</v>
      </c>
      <c r="O97" s="1" t="s">
        <v>400</v>
      </c>
      <c r="P97" t="s">
        <v>401</v>
      </c>
      <c r="Q97" t="s">
        <v>204</v>
      </c>
      <c r="R97" t="s">
        <v>50</v>
      </c>
      <c r="S97" t="s">
        <v>45</v>
      </c>
      <c r="T97" t="s">
        <v>415</v>
      </c>
      <c r="U97" t="s">
        <v>409</v>
      </c>
      <c r="V97" s="1">
        <v>45198.697754629597</v>
      </c>
      <c r="W97" s="1" t="s">
        <v>53</v>
      </c>
      <c r="X97" t="s">
        <v>32</v>
      </c>
      <c r="Y97" s="1">
        <v>45198</v>
      </c>
      <c r="AA97" t="s">
        <v>705</v>
      </c>
      <c r="AB97" t="s">
        <v>243</v>
      </c>
      <c r="AC97" t="str">
        <f>INDEX('DB Description'!$A$1:$B$23,MATCH(Tabela2[[#This Row],[Filial DB code]],'DB Description'!A:A,),2)</f>
        <v>Bauko</v>
      </c>
      <c r="AD97" s="9">
        <f>Tabela2[[#This Row],[Issue2]]-Tabela2[[#This Row],[Failure2]]</f>
        <v>29</v>
      </c>
      <c r="AE97" t="str">
        <f t="shared" si="19"/>
        <v>FY2023</v>
      </c>
      <c r="AF97">
        <f>YEAR(Tabela2[[#This Row],[Issue2]])</f>
        <v>2023</v>
      </c>
    </row>
    <row r="98" spans="1:32" x14ac:dyDescent="0.35">
      <c r="A98" t="s">
        <v>830</v>
      </c>
      <c r="B98" t="s">
        <v>831</v>
      </c>
      <c r="C98" t="s">
        <v>348</v>
      </c>
      <c r="D98" t="s">
        <v>505</v>
      </c>
      <c r="E98" t="s">
        <v>1920</v>
      </c>
      <c r="F98" t="s">
        <v>1955</v>
      </c>
      <c r="G98" t="s">
        <v>832</v>
      </c>
      <c r="I98">
        <v>1461</v>
      </c>
      <c r="J98" t="s">
        <v>37</v>
      </c>
      <c r="K98" s="1">
        <v>45189</v>
      </c>
      <c r="L98" s="1"/>
      <c r="M98" s="1">
        <v>44678</v>
      </c>
      <c r="N98" s="1">
        <v>44720</v>
      </c>
      <c r="O98" s="1" t="s">
        <v>833</v>
      </c>
      <c r="P98" t="s">
        <v>834</v>
      </c>
      <c r="Q98" t="s">
        <v>74</v>
      </c>
      <c r="R98" t="s">
        <v>40</v>
      </c>
      <c r="S98" t="s">
        <v>45</v>
      </c>
      <c r="U98" t="s">
        <v>38</v>
      </c>
      <c r="V98" s="1">
        <v>45201.655787037002</v>
      </c>
      <c r="W98" s="1" t="s">
        <v>53</v>
      </c>
      <c r="X98" t="s">
        <v>32</v>
      </c>
      <c r="Y98" s="1">
        <v>45202</v>
      </c>
      <c r="AA98" t="s">
        <v>397</v>
      </c>
      <c r="AB98" t="s">
        <v>243</v>
      </c>
      <c r="AC98" t="str">
        <f>INDEX('DB Description'!$A$1:$B$23,MATCH(Tabela2[[#This Row],[Filial DB code]],'DB Description'!A:A,),2)</f>
        <v>Bauko</v>
      </c>
      <c r="AD98" s="9">
        <f>Tabela2[[#This Row],[Issue2]]-Tabela2[[#This Row],[Failure2]]</f>
        <v>13</v>
      </c>
      <c r="AE98" t="str">
        <f t="shared" si="19"/>
        <v>FY2023</v>
      </c>
      <c r="AF98">
        <f>YEAR(Tabela2[[#This Row],[Issue2]])</f>
        <v>2023</v>
      </c>
    </row>
    <row r="99" spans="1:32" x14ac:dyDescent="0.35">
      <c r="A99" t="s">
        <v>835</v>
      </c>
      <c r="B99" t="s">
        <v>836</v>
      </c>
      <c r="C99" t="s">
        <v>348</v>
      </c>
      <c r="D99" t="s">
        <v>188</v>
      </c>
      <c r="E99" t="s">
        <v>1873</v>
      </c>
      <c r="F99" t="s">
        <v>1956</v>
      </c>
      <c r="G99" t="s">
        <v>837</v>
      </c>
      <c r="I99">
        <v>1244</v>
      </c>
      <c r="J99" t="s">
        <v>37</v>
      </c>
      <c r="K99" s="1">
        <v>45196</v>
      </c>
      <c r="L99" s="1"/>
      <c r="M99" s="1">
        <v>44665</v>
      </c>
      <c r="N99" s="1">
        <v>44698</v>
      </c>
      <c r="O99" s="1" t="s">
        <v>838</v>
      </c>
      <c r="P99" t="s">
        <v>219</v>
      </c>
      <c r="Q99" t="s">
        <v>94</v>
      </c>
      <c r="R99" t="s">
        <v>304</v>
      </c>
      <c r="S99" t="s">
        <v>45</v>
      </c>
      <c r="U99" t="s">
        <v>38</v>
      </c>
      <c r="V99" s="1">
        <v>45204.437534722201</v>
      </c>
      <c r="W99" s="1" t="s">
        <v>53</v>
      </c>
      <c r="X99" t="s">
        <v>32</v>
      </c>
      <c r="Y99" s="1">
        <v>45204</v>
      </c>
      <c r="AA99" t="s">
        <v>705</v>
      </c>
      <c r="AB99" t="s">
        <v>243</v>
      </c>
      <c r="AC99" t="str">
        <f>INDEX('DB Description'!$A$1:$B$23,MATCH(Tabela2[[#This Row],[Filial DB code]],'DB Description'!A:A,),2)</f>
        <v>Bauko</v>
      </c>
      <c r="AD99" s="9">
        <f>Tabela2[[#This Row],[Issue2]]-Tabela2[[#This Row],[Failure2]]</f>
        <v>8</v>
      </c>
      <c r="AE99" t="str">
        <f t="shared" ref="AE99:AE103" si="20">"FY"&amp;IF(MONTH(Y99)&gt;=4,YEAR(Y99),YEAR(Y99)-1)</f>
        <v>FY2023</v>
      </c>
      <c r="AF99">
        <f>YEAR(Tabela2[[#This Row],[Issue2]])</f>
        <v>2023</v>
      </c>
    </row>
    <row r="100" spans="1:32" x14ac:dyDescent="0.35">
      <c r="A100" t="s">
        <v>839</v>
      </c>
      <c r="B100" t="s">
        <v>840</v>
      </c>
      <c r="C100" t="s">
        <v>348</v>
      </c>
      <c r="D100" t="s">
        <v>284</v>
      </c>
      <c r="E100" t="s">
        <v>1916</v>
      </c>
      <c r="F100" t="s">
        <v>323</v>
      </c>
      <c r="G100" t="s">
        <v>841</v>
      </c>
      <c r="I100">
        <v>520</v>
      </c>
      <c r="J100" t="s">
        <v>37</v>
      </c>
      <c r="K100" s="1">
        <v>45191</v>
      </c>
      <c r="L100" s="1">
        <v>45198</v>
      </c>
      <c r="M100" s="1">
        <v>45001</v>
      </c>
      <c r="N100" s="1">
        <v>45119</v>
      </c>
      <c r="O100" s="1" t="s">
        <v>224</v>
      </c>
      <c r="P100" t="s">
        <v>314</v>
      </c>
      <c r="Q100" t="s">
        <v>78</v>
      </c>
      <c r="R100" t="s">
        <v>50</v>
      </c>
      <c r="S100" t="s">
        <v>45</v>
      </c>
      <c r="U100" t="s">
        <v>38</v>
      </c>
      <c r="V100" s="1">
        <v>45205.7136342593</v>
      </c>
      <c r="W100" s="1" t="s">
        <v>53</v>
      </c>
      <c r="X100" t="s">
        <v>32</v>
      </c>
      <c r="Y100" s="1">
        <v>45205</v>
      </c>
      <c r="AA100" t="s">
        <v>705</v>
      </c>
      <c r="AB100" t="s">
        <v>243</v>
      </c>
      <c r="AC100" t="str">
        <f>INDEX('DB Description'!$A$1:$B$23,MATCH(Tabela2[[#This Row],[Filial DB code]],'DB Description'!A:A,),2)</f>
        <v>Bauko</v>
      </c>
      <c r="AD100" s="9">
        <f>Tabela2[[#This Row],[Issue2]]-Tabela2[[#This Row],[Failure2]]</f>
        <v>14</v>
      </c>
      <c r="AE100" t="str">
        <f t="shared" si="20"/>
        <v>FY2023</v>
      </c>
      <c r="AF100">
        <f>YEAR(Tabela2[[#This Row],[Issue2]])</f>
        <v>2023</v>
      </c>
    </row>
    <row r="101" spans="1:32" x14ac:dyDescent="0.35">
      <c r="A101" t="s">
        <v>842</v>
      </c>
      <c r="B101" t="s">
        <v>843</v>
      </c>
      <c r="C101" t="s">
        <v>348</v>
      </c>
      <c r="D101" t="s">
        <v>844</v>
      </c>
      <c r="E101" t="s">
        <v>1853</v>
      </c>
      <c r="F101" t="s">
        <v>1927</v>
      </c>
      <c r="G101" t="s">
        <v>787</v>
      </c>
      <c r="I101">
        <v>82</v>
      </c>
      <c r="J101" t="s">
        <v>37</v>
      </c>
      <c r="K101" s="1">
        <v>45191</v>
      </c>
      <c r="L101" s="1">
        <v>45191</v>
      </c>
      <c r="M101" s="1">
        <v>44980</v>
      </c>
      <c r="N101" s="1">
        <v>45077</v>
      </c>
      <c r="O101" s="1" t="s">
        <v>295</v>
      </c>
      <c r="P101" t="s">
        <v>559</v>
      </c>
      <c r="Q101" t="s">
        <v>215</v>
      </c>
      <c r="R101" t="s">
        <v>299</v>
      </c>
      <c r="S101" t="s">
        <v>45</v>
      </c>
      <c r="U101" t="s">
        <v>38</v>
      </c>
      <c r="V101" s="1">
        <v>45208.4222337963</v>
      </c>
      <c r="W101" s="1" t="s">
        <v>53</v>
      </c>
      <c r="X101" t="s">
        <v>32</v>
      </c>
      <c r="Y101" s="1">
        <v>45208</v>
      </c>
      <c r="AA101" t="s">
        <v>705</v>
      </c>
      <c r="AB101" t="s">
        <v>243</v>
      </c>
      <c r="AC101" t="str">
        <f>INDEX('DB Description'!$A$1:$B$23,MATCH(Tabela2[[#This Row],[Filial DB code]],'DB Description'!A:A,),2)</f>
        <v>Bauko</v>
      </c>
      <c r="AD101" s="9">
        <f>Tabela2[[#This Row],[Issue2]]-Tabela2[[#This Row],[Failure2]]</f>
        <v>17</v>
      </c>
      <c r="AE101" t="str">
        <f t="shared" si="20"/>
        <v>FY2023</v>
      </c>
      <c r="AF101">
        <f>YEAR(Tabela2[[#This Row],[Issue2]])</f>
        <v>2023</v>
      </c>
    </row>
    <row r="102" spans="1:32" x14ac:dyDescent="0.35">
      <c r="A102" t="s">
        <v>845</v>
      </c>
      <c r="B102" t="s">
        <v>846</v>
      </c>
      <c r="C102" t="s">
        <v>348</v>
      </c>
      <c r="D102" t="s">
        <v>847</v>
      </c>
      <c r="E102" t="s">
        <v>1920</v>
      </c>
      <c r="F102" t="s">
        <v>1957</v>
      </c>
      <c r="G102" t="s">
        <v>848</v>
      </c>
      <c r="I102">
        <v>106.1</v>
      </c>
      <c r="J102" t="s">
        <v>28</v>
      </c>
      <c r="K102" s="1">
        <v>45222</v>
      </c>
      <c r="L102" s="1"/>
      <c r="M102" s="1">
        <v>45107</v>
      </c>
      <c r="N102" s="1">
        <v>45173</v>
      </c>
      <c r="O102" s="1" t="s">
        <v>849</v>
      </c>
      <c r="P102" t="s">
        <v>850</v>
      </c>
      <c r="Q102" t="s">
        <v>74</v>
      </c>
      <c r="R102" t="s">
        <v>50</v>
      </c>
      <c r="S102" t="s">
        <v>45</v>
      </c>
      <c r="T102" t="s">
        <v>334</v>
      </c>
      <c r="U102" t="s">
        <v>30</v>
      </c>
      <c r="V102" s="1">
        <v>45222.641192129602</v>
      </c>
      <c r="W102" s="1" t="s">
        <v>53</v>
      </c>
      <c r="X102" t="s">
        <v>32</v>
      </c>
      <c r="Y102" s="1">
        <v>45222</v>
      </c>
      <c r="AA102" t="s">
        <v>749</v>
      </c>
      <c r="AB102" t="s">
        <v>1512</v>
      </c>
      <c r="AC102" t="str">
        <f>INDEX('DB Description'!$A$1:$B$23,MATCH(Tabela2[[#This Row],[Filial DB code]],'DB Description'!A:A,),2)</f>
        <v>Bauko</v>
      </c>
      <c r="AD102" s="9">
        <f>Tabela2[[#This Row],[Issue2]]-Tabela2[[#This Row],[Failure2]]</f>
        <v>0</v>
      </c>
      <c r="AE102" t="str">
        <f t="shared" si="20"/>
        <v>FY2023</v>
      </c>
      <c r="AF102">
        <f>YEAR(Tabela2[[#This Row],[Issue2]])</f>
        <v>2023</v>
      </c>
    </row>
    <row r="103" spans="1:32" x14ac:dyDescent="0.35">
      <c r="A103" t="s">
        <v>851</v>
      </c>
      <c r="B103" t="s">
        <v>852</v>
      </c>
      <c r="C103" t="s">
        <v>348</v>
      </c>
      <c r="D103" t="s">
        <v>241</v>
      </c>
      <c r="E103" t="s">
        <v>1901</v>
      </c>
      <c r="F103" t="s">
        <v>1921</v>
      </c>
      <c r="G103" t="s">
        <v>853</v>
      </c>
      <c r="I103">
        <v>1323</v>
      </c>
      <c r="J103" t="s">
        <v>28</v>
      </c>
      <c r="K103" s="1">
        <v>45207</v>
      </c>
      <c r="L103" s="1"/>
      <c r="M103" s="1">
        <v>44859</v>
      </c>
      <c r="N103" s="1">
        <v>44929</v>
      </c>
      <c r="O103" s="1" t="s">
        <v>783</v>
      </c>
      <c r="P103" t="s">
        <v>345</v>
      </c>
      <c r="Q103" t="s">
        <v>99</v>
      </c>
      <c r="R103" t="s">
        <v>70</v>
      </c>
      <c r="S103" t="s">
        <v>45</v>
      </c>
      <c r="T103" t="s">
        <v>334</v>
      </c>
      <c r="U103" t="s">
        <v>30</v>
      </c>
      <c r="V103" s="1">
        <v>45223.646481481497</v>
      </c>
      <c r="W103" s="1" t="s">
        <v>46</v>
      </c>
      <c r="X103" t="s">
        <v>32</v>
      </c>
      <c r="Y103" s="1">
        <v>45223</v>
      </c>
      <c r="Z103" s="1" t="s">
        <v>854</v>
      </c>
      <c r="AA103" t="s">
        <v>543</v>
      </c>
      <c r="AB103" t="s">
        <v>1518</v>
      </c>
      <c r="AC103" t="str">
        <f>INDEX('DB Description'!$A$1:$B$23,MATCH(Tabela2[[#This Row],[Filial DB code]],'DB Description'!A:A,),2)</f>
        <v xml:space="preserve">Vianmaq </v>
      </c>
      <c r="AD103" s="9">
        <f>Tabela2[[#This Row],[Issue2]]-Tabela2[[#This Row],[Failure2]]</f>
        <v>16</v>
      </c>
      <c r="AE103" t="str">
        <f t="shared" si="20"/>
        <v>FY2023</v>
      </c>
      <c r="AF103">
        <f>YEAR(Tabela2[[#This Row],[Issue2]])</f>
        <v>2023</v>
      </c>
    </row>
    <row r="104" spans="1:32" x14ac:dyDescent="0.35">
      <c r="A104" s="4" t="s">
        <v>857</v>
      </c>
      <c r="B104" t="s">
        <v>858</v>
      </c>
      <c r="C104" t="s">
        <v>348</v>
      </c>
      <c r="D104" s="4" t="s">
        <v>181</v>
      </c>
      <c r="E104" t="s">
        <v>1873</v>
      </c>
      <c r="F104" s="4" t="s">
        <v>214</v>
      </c>
      <c r="I104">
        <v>67</v>
      </c>
      <c r="J104" t="s">
        <v>28</v>
      </c>
      <c r="K104" s="1">
        <v>45201</v>
      </c>
      <c r="L104" s="1">
        <v>45226</v>
      </c>
      <c r="M104" s="1">
        <v>45138</v>
      </c>
      <c r="N104" s="1">
        <v>45174</v>
      </c>
      <c r="O104" s="1" t="s">
        <v>93</v>
      </c>
      <c r="P104" t="s">
        <v>265</v>
      </c>
      <c r="Q104" t="s">
        <v>94</v>
      </c>
      <c r="R104" t="s">
        <v>229</v>
      </c>
      <c r="S104" t="s">
        <v>45</v>
      </c>
      <c r="T104" t="s">
        <v>334</v>
      </c>
      <c r="U104" t="s">
        <v>30</v>
      </c>
      <c r="V104" s="1">
        <v>45240.688703703701</v>
      </c>
      <c r="W104" s="1" t="s">
        <v>53</v>
      </c>
      <c r="X104" t="s">
        <v>32</v>
      </c>
      <c r="Y104" s="1">
        <v>45240</v>
      </c>
      <c r="AA104" t="s">
        <v>397</v>
      </c>
      <c r="AB104" t="s">
        <v>243</v>
      </c>
      <c r="AC104" t="str">
        <f>INDEX('DB Description'!$A$1:$B$23,MATCH(Tabela2[[#This Row],[Filial DB code]],'DB Description'!A:A,),2)</f>
        <v>Bauko</v>
      </c>
      <c r="AD104" s="9">
        <f>Tabela2[[#This Row],[Issue2]]-Tabela2[[#This Row],[Failure2]]</f>
        <v>39</v>
      </c>
      <c r="AE104" t="str">
        <f t="shared" ref="AE104:AE109" si="21">"FY"&amp;IF(MONTH(Y104)&gt;=4,YEAR(Y104),YEAR(Y104)-1)</f>
        <v>FY2023</v>
      </c>
      <c r="AF104">
        <f>YEAR(Tabela2[[#This Row],[Issue2]])</f>
        <v>2023</v>
      </c>
    </row>
    <row r="105" spans="1:32" x14ac:dyDescent="0.35">
      <c r="A105" t="s">
        <v>859</v>
      </c>
      <c r="B105" t="s">
        <v>860</v>
      </c>
      <c r="C105" t="s">
        <v>348</v>
      </c>
      <c r="D105" t="s">
        <v>290</v>
      </c>
      <c r="E105" t="s">
        <v>1930</v>
      </c>
      <c r="F105" t="s">
        <v>1083</v>
      </c>
      <c r="G105" t="s">
        <v>861</v>
      </c>
      <c r="I105">
        <v>296</v>
      </c>
      <c r="J105" t="s">
        <v>28</v>
      </c>
      <c r="K105" s="1">
        <v>45239</v>
      </c>
      <c r="L105" s="1"/>
      <c r="M105" s="1">
        <v>45127</v>
      </c>
      <c r="N105" s="1">
        <v>45173</v>
      </c>
      <c r="O105" s="1" t="s">
        <v>862</v>
      </c>
      <c r="P105" t="s">
        <v>863</v>
      </c>
      <c r="Q105" t="s">
        <v>86</v>
      </c>
      <c r="R105" t="s">
        <v>229</v>
      </c>
      <c r="S105" t="s">
        <v>45</v>
      </c>
      <c r="T105" t="s">
        <v>334</v>
      </c>
      <c r="U105" t="s">
        <v>30</v>
      </c>
      <c r="V105" s="1">
        <v>45247</v>
      </c>
      <c r="W105" s="1" t="s">
        <v>46</v>
      </c>
      <c r="X105" t="s">
        <v>32</v>
      </c>
      <c r="Y105" s="1">
        <v>45247</v>
      </c>
      <c r="Z105" s="1" t="s">
        <v>864</v>
      </c>
      <c r="AA105" t="s">
        <v>543</v>
      </c>
      <c r="AB105" t="s">
        <v>1518</v>
      </c>
      <c r="AC105" t="str">
        <f>INDEX('DB Description'!$A$1:$B$23,MATCH(Tabela2[[#This Row],[Filial DB code]],'DB Description'!A:A,),2)</f>
        <v xml:space="preserve">Vianmaq </v>
      </c>
      <c r="AD105" s="9">
        <f>Tabela2[[#This Row],[Issue2]]-Tabela2[[#This Row],[Failure2]]</f>
        <v>8</v>
      </c>
      <c r="AE105" t="str">
        <f t="shared" si="21"/>
        <v>FY2023</v>
      </c>
      <c r="AF105">
        <f>YEAR(Tabela2[[#This Row],[Issue2]])</f>
        <v>2023</v>
      </c>
    </row>
    <row r="106" spans="1:32" x14ac:dyDescent="0.35">
      <c r="A106" t="s">
        <v>865</v>
      </c>
      <c r="B106" t="s">
        <v>866</v>
      </c>
      <c r="C106" t="s">
        <v>348</v>
      </c>
      <c r="D106" t="s">
        <v>284</v>
      </c>
      <c r="E106" t="s">
        <v>1877</v>
      </c>
      <c r="F106" t="s">
        <v>1958</v>
      </c>
      <c r="I106">
        <v>738</v>
      </c>
      <c r="J106" t="s">
        <v>154</v>
      </c>
      <c r="K106" s="1">
        <v>45238</v>
      </c>
      <c r="L106" s="1"/>
      <c r="M106" s="1">
        <v>45001</v>
      </c>
      <c r="N106" s="1">
        <v>45119</v>
      </c>
      <c r="O106" s="1" t="s">
        <v>867</v>
      </c>
      <c r="P106" t="s">
        <v>868</v>
      </c>
      <c r="Q106" t="s">
        <v>60</v>
      </c>
      <c r="R106" t="s">
        <v>50</v>
      </c>
      <c r="S106" t="s">
        <v>45</v>
      </c>
      <c r="T106" t="s">
        <v>415</v>
      </c>
      <c r="U106" t="s">
        <v>409</v>
      </c>
      <c r="V106" s="1">
        <v>45251</v>
      </c>
      <c r="W106" s="1" t="s">
        <v>53</v>
      </c>
      <c r="X106" t="s">
        <v>32</v>
      </c>
      <c r="Y106" s="1">
        <v>45251</v>
      </c>
      <c r="AA106" t="s">
        <v>705</v>
      </c>
      <c r="AB106" t="s">
        <v>243</v>
      </c>
      <c r="AC106" t="str">
        <f>INDEX('DB Description'!$A$1:$B$23,MATCH(Tabela2[[#This Row],[Filial DB code]],'DB Description'!A:A,),2)</f>
        <v>Bauko</v>
      </c>
      <c r="AD106" s="9">
        <f>Tabela2[[#This Row],[Issue2]]-Tabela2[[#This Row],[Failure2]]</f>
        <v>13</v>
      </c>
      <c r="AE106" t="str">
        <f t="shared" si="21"/>
        <v>FY2023</v>
      </c>
      <c r="AF106">
        <f>YEAR(Tabela2[[#This Row],[Issue2]])</f>
        <v>2023</v>
      </c>
    </row>
    <row r="107" spans="1:32" x14ac:dyDescent="0.35">
      <c r="A107" t="s">
        <v>869</v>
      </c>
      <c r="B107" t="s">
        <v>870</v>
      </c>
      <c r="C107" t="s">
        <v>348</v>
      </c>
      <c r="D107" t="s">
        <v>68</v>
      </c>
      <c r="E107" t="s">
        <v>1847</v>
      </c>
      <c r="F107" t="s">
        <v>1883</v>
      </c>
      <c r="I107">
        <v>382</v>
      </c>
      <c r="J107" t="s">
        <v>28</v>
      </c>
      <c r="K107" s="1">
        <v>45246</v>
      </c>
      <c r="L107" s="1">
        <v>45251</v>
      </c>
      <c r="M107" s="1">
        <v>45121</v>
      </c>
      <c r="N107" s="1">
        <v>45174</v>
      </c>
      <c r="O107" s="1" t="s">
        <v>244</v>
      </c>
      <c r="P107" t="s">
        <v>245</v>
      </c>
      <c r="Q107" t="s">
        <v>78</v>
      </c>
      <c r="R107" t="s">
        <v>50</v>
      </c>
      <c r="S107" t="s">
        <v>45</v>
      </c>
      <c r="T107" t="s">
        <v>334</v>
      </c>
      <c r="U107" t="s">
        <v>30</v>
      </c>
      <c r="V107" s="1">
        <v>45252</v>
      </c>
      <c r="W107" s="1" t="s">
        <v>53</v>
      </c>
      <c r="X107" t="s">
        <v>32</v>
      </c>
      <c r="Y107" s="1">
        <v>45252</v>
      </c>
      <c r="Z107" s="1" t="s">
        <v>871</v>
      </c>
      <c r="AA107" t="s">
        <v>528</v>
      </c>
      <c r="AB107" t="s">
        <v>1520</v>
      </c>
      <c r="AC107" t="str">
        <f>INDEX('DB Description'!$A$1:$B$23,MATCH(Tabela2[[#This Row],[Filial DB code]],'DB Description'!A:A,),2)</f>
        <v>Bauko</v>
      </c>
      <c r="AD107" s="9">
        <f>Tabela2[[#This Row],[Issue2]]-Tabela2[[#This Row],[Failure2]]</f>
        <v>6</v>
      </c>
      <c r="AE107" t="str">
        <f t="shared" si="21"/>
        <v>FY2023</v>
      </c>
      <c r="AF107">
        <f>YEAR(Tabela2[[#This Row],[Issue2]])</f>
        <v>2023</v>
      </c>
    </row>
    <row r="108" spans="1:32" x14ac:dyDescent="0.35">
      <c r="A108" t="s">
        <v>876</v>
      </c>
      <c r="B108" t="s">
        <v>870</v>
      </c>
      <c r="C108" t="s">
        <v>348</v>
      </c>
      <c r="D108" t="s">
        <v>56</v>
      </c>
      <c r="E108" t="s">
        <v>1847</v>
      </c>
      <c r="F108" t="s">
        <v>1883</v>
      </c>
      <c r="I108">
        <v>380</v>
      </c>
      <c r="J108" t="s">
        <v>28</v>
      </c>
      <c r="K108" s="1">
        <v>45257</v>
      </c>
      <c r="L108" s="1"/>
      <c r="M108" s="1">
        <v>45142</v>
      </c>
      <c r="N108" s="1">
        <v>45218</v>
      </c>
      <c r="O108" s="1" t="s">
        <v>877</v>
      </c>
      <c r="P108" t="s">
        <v>245</v>
      </c>
      <c r="Q108" t="s">
        <v>78</v>
      </c>
      <c r="R108" t="s">
        <v>50</v>
      </c>
      <c r="S108" t="s">
        <v>45</v>
      </c>
      <c r="T108" t="s">
        <v>334</v>
      </c>
      <c r="U108" t="s">
        <v>30</v>
      </c>
      <c r="V108" s="1">
        <v>45258</v>
      </c>
      <c r="W108" s="1" t="s">
        <v>53</v>
      </c>
      <c r="X108" t="s">
        <v>32</v>
      </c>
      <c r="Y108" s="1">
        <v>45258</v>
      </c>
      <c r="AA108" t="s">
        <v>528</v>
      </c>
      <c r="AB108" t="s">
        <v>1520</v>
      </c>
      <c r="AC108" t="str">
        <f>INDEX('DB Description'!$A$1:$B$23,MATCH(Tabela2[[#This Row],[Filial DB code]],'DB Description'!A:A,),2)</f>
        <v>Bauko</v>
      </c>
      <c r="AD108" s="9">
        <f>Tabela2[[#This Row],[Issue2]]-Tabela2[[#This Row],[Failure2]]</f>
        <v>1</v>
      </c>
      <c r="AE108" t="str">
        <f t="shared" si="21"/>
        <v>FY2023</v>
      </c>
      <c r="AF108">
        <f>YEAR(Tabela2[[#This Row],[Issue2]])</f>
        <v>2023</v>
      </c>
    </row>
    <row r="109" spans="1:32" x14ac:dyDescent="0.35">
      <c r="A109" s="4" t="s">
        <v>872</v>
      </c>
      <c r="B109" t="s">
        <v>873</v>
      </c>
      <c r="C109" t="s">
        <v>348</v>
      </c>
      <c r="D109" s="4" t="s">
        <v>311</v>
      </c>
      <c r="E109" s="4" t="s">
        <v>1878</v>
      </c>
      <c r="F109" s="4" t="s">
        <v>681</v>
      </c>
      <c r="I109">
        <v>57</v>
      </c>
      <c r="J109" t="s">
        <v>28</v>
      </c>
      <c r="K109" s="1">
        <v>45258</v>
      </c>
      <c r="L109" s="1">
        <v>45258</v>
      </c>
      <c r="M109" s="1">
        <v>45195</v>
      </c>
      <c r="O109" s="1" t="s">
        <v>874</v>
      </c>
      <c r="P109" t="s">
        <v>874</v>
      </c>
      <c r="Q109" t="s">
        <v>65</v>
      </c>
      <c r="R109" t="s">
        <v>229</v>
      </c>
      <c r="S109" t="s">
        <v>45</v>
      </c>
      <c r="T109" t="s">
        <v>334</v>
      </c>
      <c r="U109" t="s">
        <v>30</v>
      </c>
      <c r="V109" s="1">
        <v>45258</v>
      </c>
      <c r="W109" s="1" t="s">
        <v>53</v>
      </c>
      <c r="X109" t="s">
        <v>32</v>
      </c>
      <c r="Y109" s="1">
        <v>45258</v>
      </c>
      <c r="Z109" s="1" t="s">
        <v>875</v>
      </c>
      <c r="AA109" t="s">
        <v>528</v>
      </c>
      <c r="AB109" t="s">
        <v>1520</v>
      </c>
      <c r="AC109" t="str">
        <f>INDEX('DB Description'!$A$1:$B$23,MATCH(Tabela2[[#This Row],[Filial DB code]],'DB Description'!A:A,),2)</f>
        <v>Bauko</v>
      </c>
      <c r="AD109" s="9">
        <f>Tabela2[[#This Row],[Issue2]]-Tabela2[[#This Row],[Failure2]]</f>
        <v>0</v>
      </c>
      <c r="AE109" t="str">
        <f t="shared" si="21"/>
        <v>FY2023</v>
      </c>
      <c r="AF109">
        <f>YEAR(Tabela2[[#This Row],[Issue2]])</f>
        <v>2023</v>
      </c>
    </row>
    <row r="110" spans="1:32" x14ac:dyDescent="0.35">
      <c r="A110" s="4" t="s">
        <v>882</v>
      </c>
      <c r="B110" t="s">
        <v>883</v>
      </c>
      <c r="C110" t="s">
        <v>348</v>
      </c>
      <c r="D110" t="s">
        <v>288</v>
      </c>
      <c r="E110" t="s">
        <v>1960</v>
      </c>
      <c r="F110" t="s">
        <v>1959</v>
      </c>
      <c r="I110">
        <v>305</v>
      </c>
      <c r="J110" t="s">
        <v>28</v>
      </c>
      <c r="K110" s="1">
        <v>45219</v>
      </c>
      <c r="L110" s="1">
        <v>45219</v>
      </c>
      <c r="M110" s="1">
        <v>45124</v>
      </c>
      <c r="O110" s="1" t="s">
        <v>119</v>
      </c>
      <c r="P110" t="s">
        <v>884</v>
      </c>
      <c r="Q110" t="s">
        <v>42</v>
      </c>
      <c r="R110" t="s">
        <v>299</v>
      </c>
      <c r="S110" t="s">
        <v>45</v>
      </c>
      <c r="T110" t="s">
        <v>334</v>
      </c>
      <c r="U110" t="s">
        <v>30</v>
      </c>
      <c r="V110" s="1">
        <v>45261</v>
      </c>
      <c r="W110" s="1" t="s">
        <v>53</v>
      </c>
      <c r="X110" t="s">
        <v>32</v>
      </c>
      <c r="Y110" s="1">
        <v>45261</v>
      </c>
      <c r="AA110" t="s">
        <v>705</v>
      </c>
      <c r="AB110" t="s">
        <v>243</v>
      </c>
      <c r="AC110" t="str">
        <f>INDEX('DB Description'!$A$1:$B$23,MATCH(Tabela2[[#This Row],[Filial DB code]],'DB Description'!A:A,),2)</f>
        <v>Bauko</v>
      </c>
      <c r="AD110" s="9">
        <f>Tabela2[[#This Row],[Issue2]]-Tabela2[[#This Row],[Failure2]]</f>
        <v>42</v>
      </c>
      <c r="AE110" t="str">
        <f t="shared" ref="AE110:AE125" si="22">"FY"&amp;IF(MONTH(Y110)&gt;=4,YEAR(Y110),YEAR(Y110)-1)</f>
        <v>FY2023</v>
      </c>
      <c r="AF110">
        <f>YEAR(Tabela2[[#This Row],[Issue2]])</f>
        <v>2023</v>
      </c>
    </row>
    <row r="111" spans="1:32" x14ac:dyDescent="0.35">
      <c r="A111" s="4" t="s">
        <v>879</v>
      </c>
      <c r="B111" t="s">
        <v>880</v>
      </c>
      <c r="C111" t="s">
        <v>348</v>
      </c>
      <c r="D111" t="s">
        <v>881</v>
      </c>
      <c r="E111" t="s">
        <v>1873</v>
      </c>
      <c r="F111" t="s">
        <v>1887</v>
      </c>
      <c r="I111">
        <v>48</v>
      </c>
      <c r="J111" t="s">
        <v>28</v>
      </c>
      <c r="K111" s="1">
        <v>45189</v>
      </c>
      <c r="L111" s="1"/>
      <c r="M111" s="1">
        <v>45139</v>
      </c>
      <c r="O111" s="1" t="s">
        <v>165</v>
      </c>
      <c r="P111" t="s">
        <v>165</v>
      </c>
      <c r="Q111" t="s">
        <v>94</v>
      </c>
      <c r="R111" t="s">
        <v>50</v>
      </c>
      <c r="S111" t="s">
        <v>45</v>
      </c>
      <c r="T111" t="s">
        <v>334</v>
      </c>
      <c r="U111" t="s">
        <v>30</v>
      </c>
      <c r="V111" s="1">
        <v>45261</v>
      </c>
      <c r="W111" s="1" t="s">
        <v>53</v>
      </c>
      <c r="X111" t="s">
        <v>32</v>
      </c>
      <c r="Y111" s="1">
        <v>45261</v>
      </c>
      <c r="Z111" s="1" t="s">
        <v>871</v>
      </c>
      <c r="AA111" t="s">
        <v>528</v>
      </c>
      <c r="AB111" t="s">
        <v>1520</v>
      </c>
      <c r="AC111" t="str">
        <f>INDEX('DB Description'!$A$1:$B$23,MATCH(Tabela2[[#This Row],[Filial DB code]],'DB Description'!A:A,),2)</f>
        <v>Bauko</v>
      </c>
      <c r="AD111" s="9">
        <f>Tabela2[[#This Row],[Issue2]]-Tabela2[[#This Row],[Failure2]]</f>
        <v>72</v>
      </c>
      <c r="AE111" t="str">
        <f t="shared" si="22"/>
        <v>FY2023</v>
      </c>
      <c r="AF111">
        <f>YEAR(Tabela2[[#This Row],[Issue2]])</f>
        <v>2023</v>
      </c>
    </row>
    <row r="112" spans="1:32" x14ac:dyDescent="0.35">
      <c r="A112" s="4" t="s">
        <v>907</v>
      </c>
      <c r="B112" t="s">
        <v>891</v>
      </c>
      <c r="C112" t="s">
        <v>348</v>
      </c>
      <c r="D112" t="s">
        <v>908</v>
      </c>
      <c r="E112" t="s">
        <v>1901</v>
      </c>
      <c r="F112" t="s">
        <v>1905</v>
      </c>
      <c r="G112" t="s">
        <v>893</v>
      </c>
      <c r="I112">
        <v>6.5</v>
      </c>
      <c r="J112" t="s">
        <v>37</v>
      </c>
      <c r="K112" s="1">
        <v>45267</v>
      </c>
      <c r="L112" s="1"/>
      <c r="M112" s="1">
        <v>45167</v>
      </c>
      <c r="O112" s="1" t="s">
        <v>889</v>
      </c>
      <c r="P112" t="s">
        <v>289</v>
      </c>
      <c r="Q112" t="s">
        <v>99</v>
      </c>
      <c r="R112" t="s">
        <v>229</v>
      </c>
      <c r="S112" t="s">
        <v>45</v>
      </c>
      <c r="U112" t="s">
        <v>38</v>
      </c>
      <c r="V112" s="1">
        <v>45267.554351851897</v>
      </c>
      <c r="W112" s="1" t="s">
        <v>53</v>
      </c>
      <c r="X112" t="s">
        <v>32</v>
      </c>
      <c r="Y112" s="1">
        <v>45267</v>
      </c>
      <c r="Z112" s="1" t="s">
        <v>904</v>
      </c>
      <c r="AA112" t="s">
        <v>328</v>
      </c>
      <c r="AB112" t="s">
        <v>1520</v>
      </c>
      <c r="AC112" t="str">
        <f>INDEX('DB Description'!$A$1:$B$23,MATCH(Tabela2[[#This Row],[Filial DB code]],'DB Description'!A:A,),2)</f>
        <v>Bauko</v>
      </c>
      <c r="AD112" s="9">
        <f>Tabela2[[#This Row],[Issue2]]-Tabela2[[#This Row],[Failure2]]</f>
        <v>0</v>
      </c>
      <c r="AE112" t="str">
        <f t="shared" si="22"/>
        <v>FY2023</v>
      </c>
      <c r="AF112">
        <f>YEAR(Tabela2[[#This Row],[Issue2]])</f>
        <v>2023</v>
      </c>
    </row>
    <row r="113" spans="1:32" x14ac:dyDescent="0.35">
      <c r="A113" s="4" t="s">
        <v>905</v>
      </c>
      <c r="B113" t="s">
        <v>891</v>
      </c>
      <c r="C113" t="s">
        <v>348</v>
      </c>
      <c r="D113" t="s">
        <v>906</v>
      </c>
      <c r="E113" t="s">
        <v>1901</v>
      </c>
      <c r="F113" t="s">
        <v>1905</v>
      </c>
      <c r="G113" t="s">
        <v>893</v>
      </c>
      <c r="I113">
        <v>4.8</v>
      </c>
      <c r="J113" t="s">
        <v>37</v>
      </c>
      <c r="K113" s="1">
        <v>45267</v>
      </c>
      <c r="L113" s="1"/>
      <c r="M113" s="1">
        <v>45198</v>
      </c>
      <c r="O113" s="1" t="s">
        <v>889</v>
      </c>
      <c r="P113" t="s">
        <v>289</v>
      </c>
      <c r="Q113" t="s">
        <v>99</v>
      </c>
      <c r="R113" t="s">
        <v>229</v>
      </c>
      <c r="S113" t="s">
        <v>45</v>
      </c>
      <c r="U113" t="s">
        <v>38</v>
      </c>
      <c r="V113" s="1">
        <v>45267.559432870403</v>
      </c>
      <c r="W113" s="1" t="s">
        <v>53</v>
      </c>
      <c r="X113" t="s">
        <v>32</v>
      </c>
      <c r="Y113" s="1">
        <v>45267</v>
      </c>
      <c r="Z113" s="1" t="s">
        <v>904</v>
      </c>
      <c r="AA113" t="s">
        <v>328</v>
      </c>
      <c r="AB113" t="s">
        <v>1520</v>
      </c>
      <c r="AC113" t="str">
        <f>INDEX('DB Description'!$A$1:$B$23,MATCH(Tabela2[[#This Row],[Filial DB code]],'DB Description'!A:A,),2)</f>
        <v>Bauko</v>
      </c>
      <c r="AD113" s="9">
        <f>Tabela2[[#This Row],[Issue2]]-Tabela2[[#This Row],[Failure2]]</f>
        <v>0</v>
      </c>
      <c r="AE113" t="str">
        <f t="shared" si="22"/>
        <v>FY2023</v>
      </c>
      <c r="AF113">
        <f>YEAR(Tabela2[[#This Row],[Issue2]])</f>
        <v>2023</v>
      </c>
    </row>
    <row r="114" spans="1:32" x14ac:dyDescent="0.35">
      <c r="A114" s="4" t="s">
        <v>903</v>
      </c>
      <c r="B114" t="s">
        <v>891</v>
      </c>
      <c r="C114" t="s">
        <v>348</v>
      </c>
      <c r="D114" t="s">
        <v>310</v>
      </c>
      <c r="E114" t="s">
        <v>1901</v>
      </c>
      <c r="F114" t="s">
        <v>1905</v>
      </c>
      <c r="G114" t="s">
        <v>893</v>
      </c>
      <c r="I114">
        <v>6.8</v>
      </c>
      <c r="J114" t="s">
        <v>37</v>
      </c>
      <c r="K114" s="1">
        <v>45267</v>
      </c>
      <c r="L114" s="1"/>
      <c r="M114" s="1">
        <v>45201</v>
      </c>
      <c r="O114" s="1" t="s">
        <v>889</v>
      </c>
      <c r="P114" t="s">
        <v>289</v>
      </c>
      <c r="Q114" t="s">
        <v>99</v>
      </c>
      <c r="R114" t="s">
        <v>229</v>
      </c>
      <c r="S114" t="s">
        <v>45</v>
      </c>
      <c r="U114" t="s">
        <v>38</v>
      </c>
      <c r="V114" s="1">
        <v>45267.5617361111</v>
      </c>
      <c r="W114" s="1" t="s">
        <v>53</v>
      </c>
      <c r="X114" t="s">
        <v>32</v>
      </c>
      <c r="Y114" s="1">
        <v>45267</v>
      </c>
      <c r="Z114" s="1" t="s">
        <v>904</v>
      </c>
      <c r="AA114" t="s">
        <v>328</v>
      </c>
      <c r="AB114" t="s">
        <v>1520</v>
      </c>
      <c r="AC114" t="str">
        <f>INDEX('DB Description'!$A$1:$B$23,MATCH(Tabela2[[#This Row],[Filial DB code]],'DB Description'!A:A,),2)</f>
        <v>Bauko</v>
      </c>
      <c r="AD114" s="9">
        <f>Tabela2[[#This Row],[Issue2]]-Tabela2[[#This Row],[Failure2]]</f>
        <v>0</v>
      </c>
      <c r="AE114" t="str">
        <f t="shared" si="22"/>
        <v>FY2023</v>
      </c>
      <c r="AF114">
        <f>YEAR(Tabela2[[#This Row],[Issue2]])</f>
        <v>2023</v>
      </c>
    </row>
    <row r="115" spans="1:32" x14ac:dyDescent="0.35">
      <c r="A115" s="4" t="s">
        <v>901</v>
      </c>
      <c r="B115" t="s">
        <v>891</v>
      </c>
      <c r="C115" t="s">
        <v>348</v>
      </c>
      <c r="D115" t="s">
        <v>902</v>
      </c>
      <c r="E115" t="s">
        <v>1901</v>
      </c>
      <c r="F115" t="s">
        <v>1905</v>
      </c>
      <c r="G115" t="s">
        <v>893</v>
      </c>
      <c r="I115">
        <v>4</v>
      </c>
      <c r="J115" t="s">
        <v>37</v>
      </c>
      <c r="K115" s="1">
        <v>45267</v>
      </c>
      <c r="L115" s="1"/>
      <c r="M115" s="1">
        <v>45215</v>
      </c>
      <c r="O115" s="1" t="s">
        <v>889</v>
      </c>
      <c r="P115" t="s">
        <v>289</v>
      </c>
      <c r="Q115" t="s">
        <v>99</v>
      </c>
      <c r="R115" t="s">
        <v>229</v>
      </c>
      <c r="S115" t="s">
        <v>45</v>
      </c>
      <c r="U115" t="s">
        <v>38</v>
      </c>
      <c r="V115" s="1">
        <v>45267.639537037001</v>
      </c>
      <c r="W115" s="1" t="s">
        <v>53</v>
      </c>
      <c r="X115" t="s">
        <v>32</v>
      </c>
      <c r="Y115" s="1">
        <v>45267</v>
      </c>
      <c r="AA115" t="s">
        <v>705</v>
      </c>
      <c r="AB115" t="s">
        <v>243</v>
      </c>
      <c r="AC115" t="str">
        <f>INDEX('DB Description'!$A$1:$B$23,MATCH(Tabela2[[#This Row],[Filial DB code]],'DB Description'!A:A,),2)</f>
        <v>Bauko</v>
      </c>
      <c r="AD115" s="9">
        <f>Tabela2[[#This Row],[Issue2]]-Tabela2[[#This Row],[Failure2]]</f>
        <v>0</v>
      </c>
      <c r="AE115" t="str">
        <f t="shared" si="22"/>
        <v>FY2023</v>
      </c>
      <c r="AF115">
        <f>YEAR(Tabela2[[#This Row],[Issue2]])</f>
        <v>2023</v>
      </c>
    </row>
    <row r="116" spans="1:32" x14ac:dyDescent="0.35">
      <c r="A116" s="4" t="s">
        <v>899</v>
      </c>
      <c r="B116" t="s">
        <v>891</v>
      </c>
      <c r="C116" t="s">
        <v>348</v>
      </c>
      <c r="D116" t="s">
        <v>900</v>
      </c>
      <c r="E116" t="s">
        <v>1901</v>
      </c>
      <c r="F116" t="s">
        <v>1905</v>
      </c>
      <c r="G116" t="s">
        <v>893</v>
      </c>
      <c r="I116">
        <v>3</v>
      </c>
      <c r="J116" t="s">
        <v>37</v>
      </c>
      <c r="K116" s="1">
        <v>45267</v>
      </c>
      <c r="L116" s="1"/>
      <c r="M116" s="1">
        <v>45208</v>
      </c>
      <c r="O116" s="1" t="s">
        <v>889</v>
      </c>
      <c r="P116" t="s">
        <v>289</v>
      </c>
      <c r="Q116" t="s">
        <v>99</v>
      </c>
      <c r="R116" t="s">
        <v>229</v>
      </c>
      <c r="S116" t="s">
        <v>45</v>
      </c>
      <c r="U116" t="s">
        <v>38</v>
      </c>
      <c r="V116" s="1">
        <v>45267.817199074103</v>
      </c>
      <c r="W116" s="1" t="s">
        <v>53</v>
      </c>
      <c r="X116" t="s">
        <v>32</v>
      </c>
      <c r="Y116" s="1">
        <v>45267</v>
      </c>
      <c r="AA116" t="s">
        <v>705</v>
      </c>
      <c r="AB116" t="s">
        <v>243</v>
      </c>
      <c r="AC116" t="str">
        <f>INDEX('DB Description'!$A$1:$B$23,MATCH(Tabela2[[#This Row],[Filial DB code]],'DB Description'!A:A,),2)</f>
        <v>Bauko</v>
      </c>
      <c r="AD116" s="9">
        <f>Tabela2[[#This Row],[Issue2]]-Tabela2[[#This Row],[Failure2]]</f>
        <v>0</v>
      </c>
      <c r="AE116" t="str">
        <f t="shared" si="22"/>
        <v>FY2023</v>
      </c>
      <c r="AF116">
        <f>YEAR(Tabela2[[#This Row],[Issue2]])</f>
        <v>2023</v>
      </c>
    </row>
    <row r="117" spans="1:32" x14ac:dyDescent="0.35">
      <c r="A117" s="4" t="s">
        <v>897</v>
      </c>
      <c r="B117" t="s">
        <v>891</v>
      </c>
      <c r="C117" t="s">
        <v>348</v>
      </c>
      <c r="D117" t="s">
        <v>898</v>
      </c>
      <c r="E117" t="s">
        <v>1901</v>
      </c>
      <c r="F117" t="s">
        <v>1905</v>
      </c>
      <c r="G117" t="s">
        <v>893</v>
      </c>
      <c r="I117">
        <v>3</v>
      </c>
      <c r="J117" t="s">
        <v>37</v>
      </c>
      <c r="K117" s="1">
        <v>45267</v>
      </c>
      <c r="L117" s="1"/>
      <c r="M117" s="1">
        <v>45210</v>
      </c>
      <c r="O117" s="1" t="s">
        <v>889</v>
      </c>
      <c r="P117" t="s">
        <v>289</v>
      </c>
      <c r="Q117" t="s">
        <v>99</v>
      </c>
      <c r="R117" t="s">
        <v>229</v>
      </c>
      <c r="S117" t="s">
        <v>45</v>
      </c>
      <c r="U117" t="s">
        <v>38</v>
      </c>
      <c r="V117" s="1">
        <v>45267.820555555598</v>
      </c>
      <c r="W117" s="1" t="s">
        <v>53</v>
      </c>
      <c r="X117" t="s">
        <v>32</v>
      </c>
      <c r="Y117" s="1">
        <v>45267</v>
      </c>
      <c r="AA117" t="s">
        <v>705</v>
      </c>
      <c r="AB117" t="s">
        <v>243</v>
      </c>
      <c r="AC117" t="str">
        <f>INDEX('DB Description'!$A$1:$B$23,MATCH(Tabela2[[#This Row],[Filial DB code]],'DB Description'!A:A,),2)</f>
        <v>Bauko</v>
      </c>
      <c r="AD117" s="9">
        <f>Tabela2[[#This Row],[Issue2]]-Tabela2[[#This Row],[Failure2]]</f>
        <v>0</v>
      </c>
      <c r="AE117" t="str">
        <f t="shared" si="22"/>
        <v>FY2023</v>
      </c>
      <c r="AF117">
        <f>YEAR(Tabela2[[#This Row],[Issue2]])</f>
        <v>2023</v>
      </c>
    </row>
    <row r="118" spans="1:32" x14ac:dyDescent="0.35">
      <c r="A118" s="4" t="s">
        <v>896</v>
      </c>
      <c r="B118" t="s">
        <v>891</v>
      </c>
      <c r="C118" t="s">
        <v>348</v>
      </c>
      <c r="D118" t="s">
        <v>301</v>
      </c>
      <c r="E118" t="s">
        <v>1901</v>
      </c>
      <c r="F118" t="s">
        <v>1905</v>
      </c>
      <c r="G118" t="s">
        <v>893</v>
      </c>
      <c r="I118">
        <v>3</v>
      </c>
      <c r="J118" t="s">
        <v>37</v>
      </c>
      <c r="K118" s="1">
        <v>45267</v>
      </c>
      <c r="L118" s="1"/>
      <c r="M118" s="1">
        <v>45219</v>
      </c>
      <c r="O118" s="1" t="s">
        <v>889</v>
      </c>
      <c r="P118" t="s">
        <v>289</v>
      </c>
      <c r="Q118" t="s">
        <v>99</v>
      </c>
      <c r="R118" t="s">
        <v>229</v>
      </c>
      <c r="S118" t="s">
        <v>45</v>
      </c>
      <c r="U118" t="s">
        <v>38</v>
      </c>
      <c r="V118" s="1">
        <v>45267.822453703702</v>
      </c>
      <c r="W118" s="1" t="s">
        <v>53</v>
      </c>
      <c r="X118" t="s">
        <v>32</v>
      </c>
      <c r="Y118" s="1">
        <v>45267</v>
      </c>
      <c r="AA118" t="s">
        <v>705</v>
      </c>
      <c r="AB118" t="s">
        <v>243</v>
      </c>
      <c r="AC118" t="str">
        <f>INDEX('DB Description'!$A$1:$B$23,MATCH(Tabela2[[#This Row],[Filial DB code]],'DB Description'!A:A,),2)</f>
        <v>Bauko</v>
      </c>
      <c r="AD118" s="9">
        <f>Tabela2[[#This Row],[Issue2]]-Tabela2[[#This Row],[Failure2]]</f>
        <v>0</v>
      </c>
      <c r="AE118" t="str">
        <f t="shared" si="22"/>
        <v>FY2023</v>
      </c>
      <c r="AF118">
        <f>YEAR(Tabela2[[#This Row],[Issue2]])</f>
        <v>2023</v>
      </c>
    </row>
    <row r="119" spans="1:32" x14ac:dyDescent="0.35">
      <c r="A119" s="4" t="s">
        <v>894</v>
      </c>
      <c r="B119" t="s">
        <v>891</v>
      </c>
      <c r="C119" t="s">
        <v>348</v>
      </c>
      <c r="D119" t="s">
        <v>895</v>
      </c>
      <c r="E119" t="s">
        <v>1901</v>
      </c>
      <c r="F119" t="s">
        <v>1905</v>
      </c>
      <c r="G119" t="s">
        <v>893</v>
      </c>
      <c r="I119">
        <v>4</v>
      </c>
      <c r="J119" t="s">
        <v>37</v>
      </c>
      <c r="K119" s="1">
        <v>45267</v>
      </c>
      <c r="L119" s="1"/>
      <c r="M119" s="1">
        <v>45222</v>
      </c>
      <c r="O119" s="1" t="s">
        <v>889</v>
      </c>
      <c r="P119" t="s">
        <v>289</v>
      </c>
      <c r="Q119" t="s">
        <v>99</v>
      </c>
      <c r="R119" t="s">
        <v>229</v>
      </c>
      <c r="S119" t="s">
        <v>45</v>
      </c>
      <c r="U119" t="s">
        <v>38</v>
      </c>
      <c r="V119" s="1">
        <v>45267.824456018498</v>
      </c>
      <c r="W119" s="1" t="s">
        <v>53</v>
      </c>
      <c r="X119" t="s">
        <v>32</v>
      </c>
      <c r="Y119" s="1">
        <v>45267</v>
      </c>
      <c r="AA119" t="s">
        <v>705</v>
      </c>
      <c r="AB119" t="s">
        <v>243</v>
      </c>
      <c r="AC119" t="str">
        <f>INDEX('DB Description'!$A$1:$B$23,MATCH(Tabela2[[#This Row],[Filial DB code]],'DB Description'!A:A,),2)</f>
        <v>Bauko</v>
      </c>
      <c r="AD119" s="9">
        <f>Tabela2[[#This Row],[Issue2]]-Tabela2[[#This Row],[Failure2]]</f>
        <v>0</v>
      </c>
      <c r="AE119" t="str">
        <f t="shared" si="22"/>
        <v>FY2023</v>
      </c>
      <c r="AF119">
        <f>YEAR(Tabela2[[#This Row],[Issue2]])</f>
        <v>2023</v>
      </c>
    </row>
    <row r="120" spans="1:32" x14ac:dyDescent="0.35">
      <c r="A120" s="4" t="s">
        <v>890</v>
      </c>
      <c r="B120" t="s">
        <v>891</v>
      </c>
      <c r="C120" t="s">
        <v>348</v>
      </c>
      <c r="D120" t="s">
        <v>892</v>
      </c>
      <c r="E120" t="s">
        <v>1901</v>
      </c>
      <c r="F120" t="s">
        <v>1905</v>
      </c>
      <c r="G120" t="s">
        <v>893</v>
      </c>
      <c r="I120">
        <v>3</v>
      </c>
      <c r="J120" t="s">
        <v>37</v>
      </c>
      <c r="K120" s="1">
        <v>45267</v>
      </c>
      <c r="L120" s="1"/>
      <c r="M120" s="1">
        <v>45217</v>
      </c>
      <c r="O120" s="1" t="s">
        <v>889</v>
      </c>
      <c r="P120" t="s">
        <v>289</v>
      </c>
      <c r="Q120" t="s">
        <v>99</v>
      </c>
      <c r="R120" t="s">
        <v>229</v>
      </c>
      <c r="S120" t="s">
        <v>45</v>
      </c>
      <c r="U120" t="s">
        <v>38</v>
      </c>
      <c r="V120" s="1">
        <v>45267.826840277798</v>
      </c>
      <c r="W120" s="1" t="s">
        <v>53</v>
      </c>
      <c r="X120" t="s">
        <v>32</v>
      </c>
      <c r="Y120" s="1">
        <v>45267</v>
      </c>
      <c r="AA120" t="s">
        <v>705</v>
      </c>
      <c r="AB120" t="s">
        <v>243</v>
      </c>
      <c r="AC120" t="str">
        <f>INDEX('DB Description'!$A$1:$B$23,MATCH(Tabela2[[#This Row],[Filial DB code]],'DB Description'!A:A,),2)</f>
        <v>Bauko</v>
      </c>
      <c r="AD120" s="9">
        <f>Tabela2[[#This Row],[Issue2]]-Tabela2[[#This Row],[Failure2]]</f>
        <v>0</v>
      </c>
      <c r="AE120" t="str">
        <f t="shared" si="22"/>
        <v>FY2023</v>
      </c>
      <c r="AF120">
        <f>YEAR(Tabela2[[#This Row],[Issue2]])</f>
        <v>2023</v>
      </c>
    </row>
    <row r="121" spans="1:32" x14ac:dyDescent="0.35">
      <c r="A121" s="4" t="s">
        <v>886</v>
      </c>
      <c r="B121" t="s">
        <v>887</v>
      </c>
      <c r="C121" t="s">
        <v>348</v>
      </c>
      <c r="D121" t="s">
        <v>888</v>
      </c>
      <c r="E121" t="s">
        <v>1901</v>
      </c>
      <c r="F121" t="s">
        <v>1905</v>
      </c>
      <c r="I121">
        <v>14</v>
      </c>
      <c r="J121" t="s">
        <v>28</v>
      </c>
      <c r="K121" s="1">
        <v>45237</v>
      </c>
      <c r="L121" s="1"/>
      <c r="M121" s="1">
        <v>45196</v>
      </c>
      <c r="N121" s="1">
        <v>45236</v>
      </c>
      <c r="O121" s="1" t="s">
        <v>889</v>
      </c>
      <c r="P121" t="s">
        <v>289</v>
      </c>
      <c r="Q121" t="s">
        <v>116</v>
      </c>
      <c r="R121" t="s">
        <v>229</v>
      </c>
      <c r="S121" t="s">
        <v>45</v>
      </c>
      <c r="T121" t="s">
        <v>334</v>
      </c>
      <c r="U121" t="s">
        <v>30</v>
      </c>
      <c r="V121" s="1">
        <v>45267.847476851799</v>
      </c>
      <c r="W121" s="1" t="s">
        <v>53</v>
      </c>
      <c r="X121" t="s">
        <v>32</v>
      </c>
      <c r="Y121" s="1">
        <v>45267</v>
      </c>
      <c r="AA121" t="s">
        <v>705</v>
      </c>
      <c r="AB121" t="s">
        <v>243</v>
      </c>
      <c r="AC121" t="str">
        <f>INDEX('DB Description'!$A$1:$B$23,MATCH(Tabela2[[#This Row],[Filial DB code]],'DB Description'!A:A,),2)</f>
        <v>Bauko</v>
      </c>
      <c r="AD121" s="9">
        <f>Tabela2[[#This Row],[Issue2]]-Tabela2[[#This Row],[Failure2]]</f>
        <v>30</v>
      </c>
      <c r="AE121" t="str">
        <f t="shared" si="22"/>
        <v>FY2023</v>
      </c>
      <c r="AF121">
        <f>YEAR(Tabela2[[#This Row],[Issue2]])</f>
        <v>2023</v>
      </c>
    </row>
    <row r="122" spans="1:32" x14ac:dyDescent="0.35">
      <c r="A122" t="s">
        <v>909</v>
      </c>
      <c r="B122" t="s">
        <v>910</v>
      </c>
      <c r="C122" t="s">
        <v>348</v>
      </c>
      <c r="D122" t="s">
        <v>911</v>
      </c>
      <c r="E122" t="s">
        <v>1894</v>
      </c>
      <c r="F122" t="s">
        <v>1919</v>
      </c>
      <c r="G122" t="s">
        <v>912</v>
      </c>
      <c r="I122">
        <v>337</v>
      </c>
      <c r="J122" t="s">
        <v>37</v>
      </c>
      <c r="K122" s="1">
        <v>45267</v>
      </c>
      <c r="L122" s="1"/>
      <c r="M122" s="1">
        <v>45145</v>
      </c>
      <c r="N122" s="1">
        <v>45202</v>
      </c>
      <c r="O122" s="1" t="s">
        <v>194</v>
      </c>
      <c r="P122" t="s">
        <v>133</v>
      </c>
      <c r="Q122" t="s">
        <v>65</v>
      </c>
      <c r="R122" t="s">
        <v>50</v>
      </c>
      <c r="S122" t="s">
        <v>45</v>
      </c>
      <c r="U122" t="s">
        <v>38</v>
      </c>
      <c r="V122" s="1">
        <v>45271.443634259304</v>
      </c>
      <c r="W122" s="1" t="s">
        <v>53</v>
      </c>
      <c r="X122" t="s">
        <v>32</v>
      </c>
      <c r="Y122" s="1">
        <v>45271</v>
      </c>
      <c r="Z122" s="1" t="s">
        <v>875</v>
      </c>
      <c r="AA122" t="s">
        <v>528</v>
      </c>
      <c r="AB122" t="s">
        <v>1520</v>
      </c>
      <c r="AC122" t="str">
        <f>INDEX('DB Description'!$A$1:$B$23,MATCH(Tabela2[[#This Row],[Filial DB code]],'DB Description'!A:A,),2)</f>
        <v>Bauko</v>
      </c>
      <c r="AD122" s="9">
        <f>Tabela2[[#This Row],[Issue2]]-Tabela2[[#This Row],[Failure2]]</f>
        <v>4</v>
      </c>
      <c r="AE122" t="str">
        <f t="shared" si="22"/>
        <v>FY2023</v>
      </c>
      <c r="AF122">
        <f>YEAR(Tabela2[[#This Row],[Issue2]])</f>
        <v>2023</v>
      </c>
    </row>
    <row r="123" spans="1:32" x14ac:dyDescent="0.35">
      <c r="A123" s="4" t="s">
        <v>913</v>
      </c>
      <c r="B123" t="s">
        <v>914</v>
      </c>
      <c r="C123" t="s">
        <v>348</v>
      </c>
      <c r="D123" t="s">
        <v>108</v>
      </c>
      <c r="E123" t="s">
        <v>1949</v>
      </c>
      <c r="F123" t="s">
        <v>1950</v>
      </c>
      <c r="I123">
        <v>21</v>
      </c>
      <c r="J123" t="s">
        <v>28</v>
      </c>
      <c r="K123" s="1">
        <v>45272</v>
      </c>
      <c r="L123" s="1"/>
      <c r="M123" s="1">
        <v>45195</v>
      </c>
      <c r="O123" s="1" t="s">
        <v>915</v>
      </c>
      <c r="P123" t="s">
        <v>915</v>
      </c>
      <c r="Q123" t="s">
        <v>134</v>
      </c>
      <c r="R123" t="s">
        <v>50</v>
      </c>
      <c r="S123" t="s">
        <v>45</v>
      </c>
      <c r="T123" t="s">
        <v>334</v>
      </c>
      <c r="U123" t="s">
        <v>30</v>
      </c>
      <c r="V123" s="1">
        <v>45272.594490740703</v>
      </c>
      <c r="W123" s="1" t="s">
        <v>53</v>
      </c>
      <c r="X123" t="s">
        <v>32</v>
      </c>
      <c r="Y123" s="1">
        <v>45272</v>
      </c>
      <c r="Z123" s="1" t="s">
        <v>916</v>
      </c>
      <c r="AA123" t="s">
        <v>528</v>
      </c>
      <c r="AB123" t="s">
        <v>1520</v>
      </c>
      <c r="AC123" t="str">
        <f>INDEX('DB Description'!$A$1:$B$23,MATCH(Tabela2[[#This Row],[Filial DB code]],'DB Description'!A:A,),2)</f>
        <v>Bauko</v>
      </c>
      <c r="AD123" s="9">
        <f>Tabela2[[#This Row],[Issue2]]-Tabela2[[#This Row],[Failure2]]</f>
        <v>0</v>
      </c>
      <c r="AE123" t="str">
        <f t="shared" si="22"/>
        <v>FY2023</v>
      </c>
      <c r="AF123">
        <f>YEAR(Tabela2[[#This Row],[Issue2]])</f>
        <v>2023</v>
      </c>
    </row>
    <row r="124" spans="1:32" x14ac:dyDescent="0.35">
      <c r="A124" t="s">
        <v>917</v>
      </c>
      <c r="B124" t="s">
        <v>918</v>
      </c>
      <c r="C124" t="s">
        <v>348</v>
      </c>
      <c r="D124" t="s">
        <v>180</v>
      </c>
      <c r="E124" t="s">
        <v>1873</v>
      </c>
      <c r="F124" t="s">
        <v>1924</v>
      </c>
      <c r="I124">
        <v>1684</v>
      </c>
      <c r="J124" t="s">
        <v>28</v>
      </c>
      <c r="K124" s="1">
        <v>45230</v>
      </c>
      <c r="L124" s="1">
        <v>45272</v>
      </c>
      <c r="M124" s="1">
        <v>44796</v>
      </c>
      <c r="N124" s="1">
        <v>44950</v>
      </c>
      <c r="O124" s="1" t="s">
        <v>437</v>
      </c>
      <c r="P124" t="s">
        <v>438</v>
      </c>
      <c r="Q124" t="s">
        <v>94</v>
      </c>
      <c r="R124" t="s">
        <v>229</v>
      </c>
      <c r="S124" t="s">
        <v>45</v>
      </c>
      <c r="T124" t="s">
        <v>334</v>
      </c>
      <c r="U124" t="s">
        <v>30</v>
      </c>
      <c r="V124" s="1">
        <v>45278</v>
      </c>
      <c r="W124" s="1" t="s">
        <v>61</v>
      </c>
      <c r="X124" t="s">
        <v>32</v>
      </c>
      <c r="Y124" s="1">
        <v>45278</v>
      </c>
      <c r="AA124" t="s">
        <v>878</v>
      </c>
      <c r="AB124" t="s">
        <v>1631</v>
      </c>
      <c r="AC124" t="str">
        <f>INDEX('DB Description'!$A$1:$B$23,MATCH(Tabela2[[#This Row],[Filial DB code]],'DB Description'!A:A,),2)</f>
        <v>VAMOS (2131F)</v>
      </c>
      <c r="AD124" s="9">
        <f>Tabela2[[#This Row],[Issue2]]-Tabela2[[#This Row],[Failure2]]</f>
        <v>48</v>
      </c>
      <c r="AE124" t="str">
        <f t="shared" si="22"/>
        <v>FY2023</v>
      </c>
      <c r="AF124">
        <f>YEAR(Tabela2[[#This Row],[Issue2]])</f>
        <v>2023</v>
      </c>
    </row>
    <row r="125" spans="1:32" x14ac:dyDescent="0.35">
      <c r="A125" t="s">
        <v>919</v>
      </c>
      <c r="B125" t="s">
        <v>920</v>
      </c>
      <c r="C125" t="s">
        <v>348</v>
      </c>
      <c r="D125" t="s">
        <v>68</v>
      </c>
      <c r="E125" t="s">
        <v>1894</v>
      </c>
      <c r="F125" t="s">
        <v>1919</v>
      </c>
      <c r="G125" t="s">
        <v>921</v>
      </c>
      <c r="I125">
        <v>3825</v>
      </c>
      <c r="J125" t="s">
        <v>37</v>
      </c>
      <c r="K125" s="1">
        <v>45251</v>
      </c>
      <c r="L125" s="1"/>
      <c r="M125" s="1">
        <v>45121</v>
      </c>
      <c r="N125" s="1">
        <v>45174</v>
      </c>
      <c r="O125" s="1" t="s">
        <v>194</v>
      </c>
      <c r="P125" t="s">
        <v>133</v>
      </c>
      <c r="Q125" t="s">
        <v>65</v>
      </c>
      <c r="R125" t="s">
        <v>193</v>
      </c>
      <c r="S125" t="s">
        <v>45</v>
      </c>
      <c r="U125" t="s">
        <v>38</v>
      </c>
      <c r="V125" s="1">
        <v>45278</v>
      </c>
      <c r="W125" s="1" t="s">
        <v>53</v>
      </c>
      <c r="X125" t="s">
        <v>32</v>
      </c>
      <c r="Y125" s="1">
        <v>45278</v>
      </c>
      <c r="Z125" s="1" t="s">
        <v>871</v>
      </c>
      <c r="AA125" t="s">
        <v>528</v>
      </c>
      <c r="AB125" t="s">
        <v>1520</v>
      </c>
      <c r="AC125" t="str">
        <f>INDEX('DB Description'!$A$1:$B$23,MATCH(Tabela2[[#This Row],[Filial DB code]],'DB Description'!A:A,),2)</f>
        <v>Bauko</v>
      </c>
      <c r="AD125" s="9">
        <f>Tabela2[[#This Row],[Issue2]]-Tabela2[[#This Row],[Failure2]]</f>
        <v>27</v>
      </c>
      <c r="AE125" t="str">
        <f t="shared" si="22"/>
        <v>FY2023</v>
      </c>
      <c r="AF125">
        <f>YEAR(Tabela2[[#This Row],[Issue2]])</f>
        <v>2023</v>
      </c>
    </row>
    <row r="126" spans="1:32" x14ac:dyDescent="0.35">
      <c r="A126" s="4" t="s">
        <v>922</v>
      </c>
      <c r="B126" t="s">
        <v>923</v>
      </c>
      <c r="C126" t="s">
        <v>348</v>
      </c>
      <c r="D126" t="s">
        <v>908</v>
      </c>
      <c r="E126" t="s">
        <v>1901</v>
      </c>
      <c r="F126" t="s">
        <v>1922</v>
      </c>
      <c r="I126">
        <v>67</v>
      </c>
      <c r="J126" t="s">
        <v>28</v>
      </c>
      <c r="K126" s="1">
        <v>45281</v>
      </c>
      <c r="L126" s="1">
        <v>45281</v>
      </c>
      <c r="M126" s="1">
        <v>45167</v>
      </c>
      <c r="O126" s="1" t="s">
        <v>515</v>
      </c>
      <c r="P126" t="s">
        <v>140</v>
      </c>
      <c r="Q126" t="s">
        <v>99</v>
      </c>
      <c r="R126" t="s">
        <v>84</v>
      </c>
      <c r="S126" t="s">
        <v>45</v>
      </c>
      <c r="T126" t="s">
        <v>334</v>
      </c>
      <c r="U126" t="s">
        <v>30</v>
      </c>
      <c r="V126" s="1">
        <v>45281</v>
      </c>
      <c r="W126" s="1" t="s">
        <v>53</v>
      </c>
      <c r="X126" t="s">
        <v>32</v>
      </c>
      <c r="Y126" s="1">
        <v>45281</v>
      </c>
      <c r="AA126" t="s">
        <v>528</v>
      </c>
      <c r="AB126" t="s">
        <v>1520</v>
      </c>
      <c r="AC126" t="str">
        <f>INDEX('DB Description'!$A$1:$B$23,MATCH(Tabela2[[#This Row],[Filial DB code]],'DB Description'!A:A,),2)</f>
        <v>Bauko</v>
      </c>
      <c r="AD126" s="9">
        <f>Tabela2[[#This Row],[Issue2]]-Tabela2[[#This Row],[Failure2]]</f>
        <v>0</v>
      </c>
      <c r="AE126" t="str">
        <f t="shared" ref="AE126:AE131" si="23">"FY"&amp;IF(MONTH(Y126)&gt;=4,YEAR(Y126),YEAR(Y126)-1)</f>
        <v>FY2023</v>
      </c>
      <c r="AF126">
        <f>YEAR(Tabela2[[#This Row],[Issue2]])</f>
        <v>2023</v>
      </c>
    </row>
    <row r="127" spans="1:32" x14ac:dyDescent="0.35">
      <c r="A127" t="s">
        <v>924</v>
      </c>
      <c r="B127" t="s">
        <v>925</v>
      </c>
      <c r="C127" t="s">
        <v>348</v>
      </c>
      <c r="D127" t="s">
        <v>926</v>
      </c>
      <c r="E127" t="s">
        <v>1866</v>
      </c>
      <c r="F127" t="s">
        <v>268</v>
      </c>
      <c r="G127" t="s">
        <v>927</v>
      </c>
      <c r="I127">
        <v>493</v>
      </c>
      <c r="J127" t="s">
        <v>28</v>
      </c>
      <c r="K127" s="1">
        <v>45271</v>
      </c>
      <c r="L127" s="1">
        <v>45287</v>
      </c>
      <c r="M127" s="1">
        <v>44889</v>
      </c>
      <c r="O127" s="1" t="s">
        <v>186</v>
      </c>
      <c r="P127" t="s">
        <v>187</v>
      </c>
      <c r="Q127" t="s">
        <v>479</v>
      </c>
      <c r="R127" t="s">
        <v>229</v>
      </c>
      <c r="S127" t="s">
        <v>45</v>
      </c>
      <c r="T127" t="s">
        <v>334</v>
      </c>
      <c r="U127" t="s">
        <v>30</v>
      </c>
      <c r="V127" s="1">
        <v>45288</v>
      </c>
      <c r="W127" s="1" t="s">
        <v>64</v>
      </c>
      <c r="X127" t="s">
        <v>32</v>
      </c>
      <c r="Y127" s="1">
        <v>45288</v>
      </c>
      <c r="Z127" s="1" t="s">
        <v>928</v>
      </c>
      <c r="AA127" t="s">
        <v>344</v>
      </c>
      <c r="AB127" t="s">
        <v>1522</v>
      </c>
      <c r="AC127" t="str">
        <f>INDEX('DB Description'!$A$1:$B$23,MATCH(Tabela2[[#This Row],[Filial DB code]],'DB Description'!A:A,),2)</f>
        <v>Mason</v>
      </c>
      <c r="AD127" s="9">
        <f>Tabela2[[#This Row],[Issue2]]-Tabela2[[#This Row],[Failure2]]</f>
        <v>17</v>
      </c>
      <c r="AE127" t="str">
        <f t="shared" si="23"/>
        <v>FY2023</v>
      </c>
      <c r="AF127">
        <f>YEAR(Tabela2[[#This Row],[Issue2]])</f>
        <v>2023</v>
      </c>
    </row>
    <row r="128" spans="1:32" x14ac:dyDescent="0.35">
      <c r="A128" s="4" t="s">
        <v>929</v>
      </c>
      <c r="B128" t="s">
        <v>930</v>
      </c>
      <c r="C128" t="s">
        <v>348</v>
      </c>
      <c r="D128" t="s">
        <v>276</v>
      </c>
      <c r="E128" t="s">
        <v>1901</v>
      </c>
      <c r="F128" t="s">
        <v>1944</v>
      </c>
      <c r="G128" t="s">
        <v>931</v>
      </c>
      <c r="I128">
        <v>2193</v>
      </c>
      <c r="J128" t="s">
        <v>28</v>
      </c>
      <c r="K128" s="1">
        <v>45283</v>
      </c>
      <c r="L128" s="1"/>
      <c r="M128" s="1">
        <v>44876</v>
      </c>
      <c r="O128" s="1" t="s">
        <v>635</v>
      </c>
      <c r="P128" t="s">
        <v>345</v>
      </c>
      <c r="Q128" t="s">
        <v>99</v>
      </c>
      <c r="R128" t="s">
        <v>40</v>
      </c>
      <c r="S128" t="s">
        <v>45</v>
      </c>
      <c r="T128" t="s">
        <v>334</v>
      </c>
      <c r="U128" t="s">
        <v>30</v>
      </c>
      <c r="V128" s="1">
        <v>45288</v>
      </c>
      <c r="W128" s="1" t="s">
        <v>46</v>
      </c>
      <c r="X128" t="s">
        <v>32</v>
      </c>
      <c r="Y128" s="1">
        <v>45288</v>
      </c>
      <c r="Z128" s="1" t="s">
        <v>932</v>
      </c>
      <c r="AA128" t="s">
        <v>543</v>
      </c>
      <c r="AB128" t="s">
        <v>1518</v>
      </c>
      <c r="AC128" t="str">
        <f>INDEX('DB Description'!$A$1:$B$23,MATCH(Tabela2[[#This Row],[Filial DB code]],'DB Description'!A:A,),2)</f>
        <v xml:space="preserve">Vianmaq </v>
      </c>
      <c r="AD128" s="9">
        <f>Tabela2[[#This Row],[Issue2]]-Tabela2[[#This Row],[Failure2]]</f>
        <v>5</v>
      </c>
      <c r="AE128" t="str">
        <f t="shared" si="23"/>
        <v>FY2023</v>
      </c>
      <c r="AF128">
        <f>YEAR(Tabela2[[#This Row],[Issue2]])</f>
        <v>2023</v>
      </c>
    </row>
    <row r="129" spans="1:32" x14ac:dyDescent="0.35">
      <c r="A129" s="4" t="s">
        <v>933</v>
      </c>
      <c r="B129" t="s">
        <v>934</v>
      </c>
      <c r="C129" t="s">
        <v>348</v>
      </c>
      <c r="D129" s="4" t="s">
        <v>906</v>
      </c>
      <c r="E129" s="4" t="s">
        <v>1872</v>
      </c>
      <c r="F129" s="4" t="s">
        <v>1942</v>
      </c>
      <c r="I129">
        <v>3</v>
      </c>
      <c r="J129" t="s">
        <v>28</v>
      </c>
      <c r="K129" s="1">
        <v>45289</v>
      </c>
      <c r="L129" s="1"/>
      <c r="M129" s="1">
        <v>45198</v>
      </c>
      <c r="O129" s="1" t="s">
        <v>935</v>
      </c>
      <c r="P129" t="s">
        <v>936</v>
      </c>
      <c r="Q129" t="s">
        <v>155</v>
      </c>
      <c r="R129" t="s">
        <v>223</v>
      </c>
      <c r="S129" t="s">
        <v>45</v>
      </c>
      <c r="T129" t="s">
        <v>334</v>
      </c>
      <c r="U129" t="s">
        <v>30</v>
      </c>
      <c r="V129" s="1">
        <v>45289</v>
      </c>
      <c r="W129" s="1" t="s">
        <v>53</v>
      </c>
      <c r="X129" t="s">
        <v>32</v>
      </c>
      <c r="Y129" s="1">
        <v>45289</v>
      </c>
      <c r="Z129" s="1" t="s">
        <v>937</v>
      </c>
      <c r="AA129" t="s">
        <v>528</v>
      </c>
      <c r="AB129" t="s">
        <v>1520</v>
      </c>
      <c r="AC129" t="str">
        <f>INDEX('DB Description'!$A$1:$B$23,MATCH(Tabela2[[#This Row],[Filial DB code]],'DB Description'!A:A,),2)</f>
        <v>Bauko</v>
      </c>
      <c r="AD129" s="9">
        <f>Tabela2[[#This Row],[Issue2]]-Tabela2[[#This Row],[Failure2]]</f>
        <v>0</v>
      </c>
      <c r="AE129" t="str">
        <f t="shared" si="23"/>
        <v>FY2023</v>
      </c>
      <c r="AF129">
        <f>YEAR(Tabela2[[#This Row],[Issue2]])</f>
        <v>2023</v>
      </c>
    </row>
    <row r="130" spans="1:32" x14ac:dyDescent="0.35">
      <c r="A130" t="s">
        <v>938</v>
      </c>
      <c r="B130" t="s">
        <v>939</v>
      </c>
      <c r="C130" t="s">
        <v>348</v>
      </c>
      <c r="D130" t="s">
        <v>691</v>
      </c>
      <c r="E130" t="s">
        <v>1894</v>
      </c>
      <c r="F130" t="s">
        <v>1919</v>
      </c>
      <c r="G130" t="s">
        <v>940</v>
      </c>
      <c r="I130">
        <v>5394</v>
      </c>
      <c r="J130" t="s">
        <v>37</v>
      </c>
      <c r="K130" s="1">
        <v>45272</v>
      </c>
      <c r="L130" s="1">
        <v>45321</v>
      </c>
      <c r="M130" s="1">
        <v>44671</v>
      </c>
      <c r="N130" s="1">
        <v>44680</v>
      </c>
      <c r="O130" s="1" t="s">
        <v>221</v>
      </c>
      <c r="P130" t="s">
        <v>157</v>
      </c>
      <c r="Q130" t="s">
        <v>65</v>
      </c>
      <c r="R130" t="s">
        <v>40</v>
      </c>
      <c r="S130" t="s">
        <v>45</v>
      </c>
      <c r="U130" t="s">
        <v>38</v>
      </c>
      <c r="V130" s="1">
        <v>45294</v>
      </c>
      <c r="W130" s="1" t="s">
        <v>64</v>
      </c>
      <c r="X130" t="s">
        <v>32</v>
      </c>
      <c r="Y130" s="1">
        <v>45294</v>
      </c>
      <c r="Z130" s="1" t="s">
        <v>941</v>
      </c>
      <c r="AA130" t="s">
        <v>807</v>
      </c>
      <c r="AB130" t="s">
        <v>1514</v>
      </c>
      <c r="AC130" t="str">
        <f>INDEX('DB Description'!$A$1:$B$23,MATCH(Tabela2[[#This Row],[Filial DB code]],'DB Description'!A:A,),2)</f>
        <v>Mason</v>
      </c>
      <c r="AD130" s="9">
        <f>Tabela2[[#This Row],[Issue2]]-Tabela2[[#This Row],[Failure2]]</f>
        <v>22</v>
      </c>
      <c r="AE130" t="str">
        <f t="shared" si="23"/>
        <v>FY2023</v>
      </c>
      <c r="AF130">
        <f>YEAR(Tabela2[[#This Row],[Issue2]])</f>
        <v>2024</v>
      </c>
    </row>
    <row r="131" spans="1:32" x14ac:dyDescent="0.35">
      <c r="A131" t="s">
        <v>942</v>
      </c>
      <c r="B131" t="s">
        <v>943</v>
      </c>
      <c r="C131" t="s">
        <v>348</v>
      </c>
      <c r="D131" t="s">
        <v>292</v>
      </c>
      <c r="E131" t="s">
        <v>1873</v>
      </c>
      <c r="F131" t="s">
        <v>1924</v>
      </c>
      <c r="G131" t="s">
        <v>944</v>
      </c>
      <c r="I131">
        <v>1581</v>
      </c>
      <c r="J131" t="s">
        <v>37</v>
      </c>
      <c r="K131" s="1">
        <v>45160</v>
      </c>
      <c r="L131" s="1"/>
      <c r="M131" s="1">
        <v>44788</v>
      </c>
      <c r="N131" s="1">
        <v>44911</v>
      </c>
      <c r="O131" s="1" t="s">
        <v>437</v>
      </c>
      <c r="P131" t="s">
        <v>211</v>
      </c>
      <c r="Q131" t="s">
        <v>94</v>
      </c>
      <c r="R131" t="s">
        <v>124</v>
      </c>
      <c r="S131" t="s">
        <v>45</v>
      </c>
      <c r="U131" t="s">
        <v>38</v>
      </c>
      <c r="V131" s="1">
        <v>45296</v>
      </c>
      <c r="W131" s="1" t="s">
        <v>61</v>
      </c>
      <c r="X131" t="s">
        <v>32</v>
      </c>
      <c r="Y131" s="1">
        <v>45296</v>
      </c>
      <c r="AA131" t="s">
        <v>362</v>
      </c>
      <c r="AB131" t="s">
        <v>1515</v>
      </c>
      <c r="AC131" t="str">
        <f>INDEX('DB Description'!$A$1:$B$23,MATCH(Tabela2[[#This Row],[Filial DB code]],'DB Description'!A:A,),2)</f>
        <v>MAQMOB</v>
      </c>
      <c r="AD131" s="9">
        <f>Tabela2[[#This Row],[Issue2]]-Tabela2[[#This Row],[Failure2]]</f>
        <v>136</v>
      </c>
      <c r="AE131" t="str">
        <f t="shared" si="23"/>
        <v>FY2023</v>
      </c>
      <c r="AF131">
        <f>YEAR(Tabela2[[#This Row],[Issue2]])</f>
        <v>2024</v>
      </c>
    </row>
    <row r="132" spans="1:32" x14ac:dyDescent="0.35">
      <c r="A132" t="s">
        <v>945</v>
      </c>
      <c r="B132" t="s">
        <v>946</v>
      </c>
      <c r="C132" t="s">
        <v>348</v>
      </c>
      <c r="D132" t="s">
        <v>947</v>
      </c>
      <c r="E132" t="s">
        <v>1847</v>
      </c>
      <c r="F132" t="s">
        <v>1883</v>
      </c>
      <c r="G132" t="s">
        <v>948</v>
      </c>
      <c r="H132" t="s">
        <v>949</v>
      </c>
      <c r="I132">
        <v>495</v>
      </c>
      <c r="J132" t="s">
        <v>37</v>
      </c>
      <c r="K132" s="1">
        <v>45167</v>
      </c>
      <c r="L132" s="1">
        <v>45267</v>
      </c>
      <c r="M132" s="1">
        <v>44882</v>
      </c>
      <c r="N132" s="1">
        <v>45055</v>
      </c>
      <c r="O132" s="1" t="s">
        <v>244</v>
      </c>
      <c r="P132" t="s">
        <v>338</v>
      </c>
      <c r="Q132" t="s">
        <v>319</v>
      </c>
      <c r="R132" t="s">
        <v>33</v>
      </c>
      <c r="S132" t="s">
        <v>45</v>
      </c>
      <c r="U132" t="s">
        <v>38</v>
      </c>
      <c r="V132" s="1">
        <v>45300</v>
      </c>
      <c r="W132" s="1" t="s">
        <v>64</v>
      </c>
      <c r="X132" t="s">
        <v>32</v>
      </c>
      <c r="Y132" s="1">
        <v>45300</v>
      </c>
      <c r="Z132" s="1" t="s">
        <v>941</v>
      </c>
      <c r="AA132" t="s">
        <v>807</v>
      </c>
      <c r="AB132" t="s">
        <v>1514</v>
      </c>
      <c r="AC132" t="str">
        <f>INDEX('DB Description'!$A$1:$B$23,MATCH(Tabela2[[#This Row],[Filial DB code]],'DB Description'!A:A,),2)</f>
        <v>Mason</v>
      </c>
      <c r="AD132" s="9">
        <f>Tabela2[[#This Row],[Issue2]]-Tabela2[[#This Row],[Failure2]]</f>
        <v>133</v>
      </c>
      <c r="AE132" t="str">
        <f t="shared" ref="AE132:AE135" si="24">"FY"&amp;IF(MONTH(Y132)&gt;=4,YEAR(Y132),YEAR(Y132)-1)</f>
        <v>FY2023</v>
      </c>
      <c r="AF132">
        <f>YEAR(Tabela2[[#This Row],[Issue2]])</f>
        <v>2024</v>
      </c>
    </row>
    <row r="133" spans="1:32" x14ac:dyDescent="0.35">
      <c r="A133" t="s">
        <v>950</v>
      </c>
      <c r="B133" t="s">
        <v>951</v>
      </c>
      <c r="C133" t="s">
        <v>348</v>
      </c>
      <c r="D133" t="s">
        <v>952</v>
      </c>
      <c r="E133" t="s">
        <v>1884</v>
      </c>
      <c r="F133" t="s">
        <v>1909</v>
      </c>
      <c r="G133" t="s">
        <v>953</v>
      </c>
      <c r="I133">
        <v>6</v>
      </c>
      <c r="J133" t="s">
        <v>332</v>
      </c>
      <c r="K133" s="1">
        <v>45296</v>
      </c>
      <c r="L133" s="1">
        <v>45300</v>
      </c>
      <c r="M133" s="1">
        <v>45240</v>
      </c>
      <c r="N133" s="1">
        <v>1</v>
      </c>
      <c r="O133" s="1" t="s">
        <v>354</v>
      </c>
      <c r="P133" t="s">
        <v>282</v>
      </c>
      <c r="Q133" t="s">
        <v>42</v>
      </c>
      <c r="R133" t="s">
        <v>229</v>
      </c>
      <c r="S133" t="s">
        <v>45</v>
      </c>
      <c r="T133" t="s">
        <v>329</v>
      </c>
      <c r="U133" t="s">
        <v>30</v>
      </c>
      <c r="V133" s="1">
        <v>45300</v>
      </c>
      <c r="W133" s="1" t="s">
        <v>61</v>
      </c>
      <c r="X133" t="s">
        <v>32</v>
      </c>
      <c r="Y133" s="1">
        <v>45300</v>
      </c>
      <c r="Z133" s="1" t="s">
        <v>954</v>
      </c>
      <c r="AA133" t="s">
        <v>878</v>
      </c>
      <c r="AB133" t="s">
        <v>1631</v>
      </c>
      <c r="AC133" t="str">
        <f>INDEX('DB Description'!$A$1:$B$23,MATCH(Tabela2[[#This Row],[Filial DB code]],'DB Description'!A:A,),2)</f>
        <v>VAMOS (2131F)</v>
      </c>
      <c r="AD133" s="9">
        <f>Tabela2[[#This Row],[Issue2]]-Tabela2[[#This Row],[Failure2]]</f>
        <v>4</v>
      </c>
      <c r="AE133" t="str">
        <f t="shared" si="24"/>
        <v>FY2023</v>
      </c>
      <c r="AF133">
        <f>YEAR(Tabela2[[#This Row],[Issue2]])</f>
        <v>2024</v>
      </c>
    </row>
    <row r="134" spans="1:32" x14ac:dyDescent="0.35">
      <c r="A134" t="s">
        <v>956</v>
      </c>
      <c r="B134" t="s">
        <v>957</v>
      </c>
      <c r="C134" t="s">
        <v>348</v>
      </c>
      <c r="D134" t="s">
        <v>958</v>
      </c>
      <c r="E134" t="s">
        <v>1846</v>
      </c>
      <c r="F134" t="s">
        <v>1854</v>
      </c>
      <c r="G134" t="s">
        <v>959</v>
      </c>
      <c r="I134">
        <v>399</v>
      </c>
      <c r="J134" t="s">
        <v>37</v>
      </c>
      <c r="K134" s="1">
        <v>45278</v>
      </c>
      <c r="L134" s="1"/>
      <c r="M134" s="1">
        <v>45148</v>
      </c>
      <c r="N134" s="1">
        <v>45202</v>
      </c>
      <c r="O134" s="1" t="s">
        <v>194</v>
      </c>
      <c r="P134" t="s">
        <v>77</v>
      </c>
      <c r="Q134" t="s">
        <v>116</v>
      </c>
      <c r="R134" t="s">
        <v>43</v>
      </c>
      <c r="S134" t="s">
        <v>45</v>
      </c>
      <c r="U134" t="s">
        <v>38</v>
      </c>
      <c r="V134" s="1">
        <v>45278</v>
      </c>
      <c r="W134" s="1" t="s">
        <v>53</v>
      </c>
      <c r="X134" t="s">
        <v>32</v>
      </c>
      <c r="Y134" s="1">
        <v>45303</v>
      </c>
      <c r="Z134" s="1" t="s">
        <v>960</v>
      </c>
      <c r="AA134" t="s">
        <v>528</v>
      </c>
      <c r="AB134" t="s">
        <v>1520</v>
      </c>
      <c r="AC134" t="str">
        <f>INDEX('DB Description'!$A$1:$B$23,MATCH(Tabela2[[#This Row],[Filial DB code]],'DB Description'!A:A,),2)</f>
        <v>Bauko</v>
      </c>
      <c r="AD134" s="9">
        <f>Tabela2[[#This Row],[Issue2]]-Tabela2[[#This Row],[Failure2]]</f>
        <v>25</v>
      </c>
      <c r="AE134" t="str">
        <f t="shared" si="24"/>
        <v>FY2023</v>
      </c>
      <c r="AF134">
        <f>YEAR(Tabela2[[#This Row],[Issue2]])</f>
        <v>2024</v>
      </c>
    </row>
    <row r="135" spans="1:32" x14ac:dyDescent="0.35">
      <c r="A135" t="s">
        <v>962</v>
      </c>
      <c r="B135" t="s">
        <v>963</v>
      </c>
      <c r="C135" t="s">
        <v>348</v>
      </c>
      <c r="D135" t="s">
        <v>136</v>
      </c>
      <c r="E135" t="s">
        <v>1866</v>
      </c>
      <c r="F135" t="s">
        <v>266</v>
      </c>
      <c r="I135">
        <v>295</v>
      </c>
      <c r="J135" t="s">
        <v>37</v>
      </c>
      <c r="K135" s="1">
        <v>45300</v>
      </c>
      <c r="L135" s="1">
        <v>45301</v>
      </c>
      <c r="M135" s="1">
        <v>45182</v>
      </c>
      <c r="N135" s="1">
        <v>45209</v>
      </c>
      <c r="O135" s="1" t="s">
        <v>693</v>
      </c>
      <c r="P135" t="s">
        <v>44</v>
      </c>
      <c r="Q135" t="s">
        <v>176</v>
      </c>
      <c r="R135" t="s">
        <v>193</v>
      </c>
      <c r="S135" t="s">
        <v>45</v>
      </c>
      <c r="U135" t="s">
        <v>38</v>
      </c>
      <c r="V135" s="1">
        <v>45310</v>
      </c>
      <c r="W135" s="1" t="s">
        <v>61</v>
      </c>
      <c r="X135" t="s">
        <v>32</v>
      </c>
      <c r="Y135" s="1">
        <v>45310</v>
      </c>
      <c r="AA135" t="s">
        <v>878</v>
      </c>
      <c r="AB135" t="s">
        <v>1631</v>
      </c>
      <c r="AC135" t="str">
        <f>INDEX('DB Description'!$A$1:$B$23,MATCH(Tabela2[[#This Row],[Filial DB code]],'DB Description'!A:A,),2)</f>
        <v>VAMOS (2131F)</v>
      </c>
      <c r="AD135" s="9">
        <f>Tabela2[[#This Row],[Issue2]]-Tabela2[[#This Row],[Failure2]]</f>
        <v>10</v>
      </c>
      <c r="AE135" t="str">
        <f t="shared" si="24"/>
        <v>FY2023</v>
      </c>
      <c r="AF135">
        <f>YEAR(Tabela2[[#This Row],[Issue2]])</f>
        <v>2024</v>
      </c>
    </row>
    <row r="136" spans="1:32" x14ac:dyDescent="0.35">
      <c r="A136" t="s">
        <v>965</v>
      </c>
      <c r="B136" t="s">
        <v>966</v>
      </c>
      <c r="C136" t="s">
        <v>348</v>
      </c>
      <c r="D136" t="s">
        <v>633</v>
      </c>
      <c r="E136" t="s">
        <v>1873</v>
      </c>
      <c r="F136" t="s">
        <v>1924</v>
      </c>
      <c r="G136" t="s">
        <v>436</v>
      </c>
      <c r="I136">
        <v>868</v>
      </c>
      <c r="J136" t="s">
        <v>37</v>
      </c>
      <c r="K136" s="1">
        <v>45301</v>
      </c>
      <c r="L136" s="1">
        <v>45313</v>
      </c>
      <c r="M136" s="1">
        <v>44876</v>
      </c>
      <c r="N136" s="1">
        <v>44991</v>
      </c>
      <c r="O136" s="1" t="s">
        <v>437</v>
      </c>
      <c r="P136" t="s">
        <v>438</v>
      </c>
      <c r="Q136" t="s">
        <v>94</v>
      </c>
      <c r="R136" t="s">
        <v>84</v>
      </c>
      <c r="S136" t="s">
        <v>45</v>
      </c>
      <c r="U136" t="s">
        <v>38</v>
      </c>
      <c r="V136" s="1">
        <v>45322</v>
      </c>
      <c r="W136" s="1" t="s">
        <v>61</v>
      </c>
      <c r="X136" t="s">
        <v>32</v>
      </c>
      <c r="Y136" s="1">
        <v>45322</v>
      </c>
      <c r="AA136" t="s">
        <v>878</v>
      </c>
      <c r="AB136" t="s">
        <v>1631</v>
      </c>
      <c r="AC136" t="str">
        <f>INDEX('DB Description'!$A$1:$B$23,MATCH(Tabela2[[#This Row],[Filial DB code]],'DB Description'!A:A,),2)</f>
        <v>VAMOS (2131F)</v>
      </c>
      <c r="AD136" s="9">
        <f>Tabela2[[#This Row],[Issue2]]-Tabela2[[#This Row],[Failure2]]</f>
        <v>21</v>
      </c>
      <c r="AE136" t="str">
        <f t="shared" ref="AE136:AE142" si="25">"FY"&amp;IF(MONTH(Y136)&gt;=4,YEAR(Y136),YEAR(Y136)-1)</f>
        <v>FY2023</v>
      </c>
      <c r="AF136">
        <f>YEAR(Tabela2[[#This Row],[Issue2]])</f>
        <v>2024</v>
      </c>
    </row>
    <row r="137" spans="1:32" x14ac:dyDescent="0.35">
      <c r="A137" t="s">
        <v>968</v>
      </c>
      <c r="B137" t="s">
        <v>969</v>
      </c>
      <c r="C137" t="s">
        <v>348</v>
      </c>
      <c r="D137" t="s">
        <v>970</v>
      </c>
      <c r="E137" t="s">
        <v>1872</v>
      </c>
      <c r="F137" t="s">
        <v>1952</v>
      </c>
      <c r="I137">
        <v>1750</v>
      </c>
      <c r="J137" t="s">
        <v>332</v>
      </c>
      <c r="K137" s="1">
        <v>45274</v>
      </c>
      <c r="L137" s="1">
        <v>45295</v>
      </c>
      <c r="M137" s="1">
        <v>44725</v>
      </c>
      <c r="N137" s="1">
        <v>44818</v>
      </c>
      <c r="O137" s="1" t="s">
        <v>967</v>
      </c>
      <c r="P137" t="s">
        <v>289</v>
      </c>
      <c r="Q137" t="s">
        <v>828</v>
      </c>
      <c r="R137" t="s">
        <v>40</v>
      </c>
      <c r="S137" t="s">
        <v>45</v>
      </c>
      <c r="T137" t="s">
        <v>329</v>
      </c>
      <c r="U137" t="s">
        <v>30</v>
      </c>
      <c r="V137" s="1">
        <v>45324</v>
      </c>
      <c r="W137" s="1" t="s">
        <v>53</v>
      </c>
      <c r="X137" t="s">
        <v>32</v>
      </c>
      <c r="Y137" s="1">
        <v>45324</v>
      </c>
      <c r="AA137" t="s">
        <v>705</v>
      </c>
      <c r="AB137" t="s">
        <v>243</v>
      </c>
      <c r="AC137" t="str">
        <f>INDEX('DB Description'!$A$1:$B$23,MATCH(Tabela2[[#This Row],[Filial DB code]],'DB Description'!A:A,),2)</f>
        <v>Bauko</v>
      </c>
      <c r="AD137" s="9">
        <f>Tabela2[[#This Row],[Issue2]]-Tabela2[[#This Row],[Failure2]]</f>
        <v>50</v>
      </c>
      <c r="AE137" t="str">
        <f t="shared" si="25"/>
        <v>FY2023</v>
      </c>
      <c r="AF137">
        <f>YEAR(Tabela2[[#This Row],[Issue2]])</f>
        <v>2024</v>
      </c>
    </row>
    <row r="138" spans="1:32" x14ac:dyDescent="0.35">
      <c r="A138" t="s">
        <v>973</v>
      </c>
      <c r="B138" t="s">
        <v>974</v>
      </c>
      <c r="C138" t="s">
        <v>348</v>
      </c>
      <c r="D138" t="s">
        <v>261</v>
      </c>
      <c r="E138" t="s">
        <v>1877</v>
      </c>
      <c r="F138" t="s">
        <v>1951</v>
      </c>
      <c r="I138">
        <v>1487</v>
      </c>
      <c r="J138" t="s">
        <v>39</v>
      </c>
      <c r="K138" s="1">
        <v>45307</v>
      </c>
      <c r="L138" s="1"/>
      <c r="M138" s="1">
        <v>44960</v>
      </c>
      <c r="N138" s="1">
        <v>45071</v>
      </c>
      <c r="O138" s="1" t="s">
        <v>975</v>
      </c>
      <c r="P138" t="s">
        <v>976</v>
      </c>
      <c r="Q138" t="s">
        <v>60</v>
      </c>
      <c r="R138" t="s">
        <v>87</v>
      </c>
      <c r="S138" t="s">
        <v>45</v>
      </c>
      <c r="T138" t="s">
        <v>648</v>
      </c>
      <c r="U138" t="s">
        <v>30</v>
      </c>
      <c r="V138" s="1">
        <v>45331</v>
      </c>
      <c r="W138" s="1" t="s">
        <v>31</v>
      </c>
      <c r="X138" t="s">
        <v>32</v>
      </c>
      <c r="Y138" s="1">
        <v>45331</v>
      </c>
      <c r="AA138" t="s">
        <v>370</v>
      </c>
      <c r="AB138" t="s">
        <v>1523</v>
      </c>
      <c r="AC138" t="str">
        <f>INDEX('DB Description'!$A$1:$B$23,MATCH(Tabela2[[#This Row],[Filial DB code]],'DB Description'!A:A,),2)</f>
        <v>FW</v>
      </c>
      <c r="AD138" s="9">
        <f>Tabela2[[#This Row],[Issue2]]-Tabela2[[#This Row],[Failure2]]</f>
        <v>24</v>
      </c>
      <c r="AE138" t="str">
        <f t="shared" si="25"/>
        <v>FY2023</v>
      </c>
      <c r="AF138">
        <f>YEAR(Tabela2[[#This Row],[Issue2]])</f>
        <v>2024</v>
      </c>
    </row>
    <row r="139" spans="1:32" x14ac:dyDescent="0.35">
      <c r="A139" t="s">
        <v>977</v>
      </c>
      <c r="B139" t="s">
        <v>978</v>
      </c>
      <c r="C139" t="s">
        <v>348</v>
      </c>
      <c r="D139" t="s">
        <v>979</v>
      </c>
      <c r="E139" t="s">
        <v>1907</v>
      </c>
      <c r="F139" t="s">
        <v>1906</v>
      </c>
      <c r="G139" t="s">
        <v>980</v>
      </c>
      <c r="I139">
        <v>1764.3</v>
      </c>
      <c r="J139" t="s">
        <v>37</v>
      </c>
      <c r="K139" s="1">
        <v>45313</v>
      </c>
      <c r="L139" s="1">
        <v>45321</v>
      </c>
      <c r="M139" s="1">
        <v>44715</v>
      </c>
      <c r="N139" s="1">
        <v>44813</v>
      </c>
      <c r="O139" s="1" t="s">
        <v>318</v>
      </c>
      <c r="P139" t="s">
        <v>57</v>
      </c>
      <c r="Q139" t="s">
        <v>73</v>
      </c>
      <c r="R139" t="s">
        <v>304</v>
      </c>
      <c r="S139" t="s">
        <v>45</v>
      </c>
      <c r="U139" t="s">
        <v>38</v>
      </c>
      <c r="V139" s="1">
        <v>45336</v>
      </c>
      <c r="W139" s="1" t="s">
        <v>55</v>
      </c>
      <c r="X139" t="s">
        <v>32</v>
      </c>
      <c r="Y139" s="1">
        <v>45337</v>
      </c>
      <c r="Z139" s="1" t="s">
        <v>76</v>
      </c>
      <c r="AA139" t="s">
        <v>964</v>
      </c>
      <c r="AB139" t="s">
        <v>1513</v>
      </c>
      <c r="AC139" t="str">
        <f>INDEX('DB Description'!$A$1:$B$23,MATCH(Tabela2[[#This Row],[Filial DB code]],'DB Description'!A:A,),2)</f>
        <v>DCCO</v>
      </c>
      <c r="AD139" s="9">
        <f>Tabela2[[#This Row],[Issue2]]-Tabela2[[#This Row],[Failure2]]</f>
        <v>24</v>
      </c>
      <c r="AE139" t="str">
        <f t="shared" si="25"/>
        <v>FY2023</v>
      </c>
      <c r="AF139">
        <f>YEAR(Tabela2[[#This Row],[Issue2]])</f>
        <v>2024</v>
      </c>
    </row>
    <row r="140" spans="1:32" x14ac:dyDescent="0.35">
      <c r="A140" t="s">
        <v>981</v>
      </c>
      <c r="B140" t="s">
        <v>982</v>
      </c>
      <c r="C140" t="s">
        <v>348</v>
      </c>
      <c r="D140" t="s">
        <v>324</v>
      </c>
      <c r="E140" t="s">
        <v>1872</v>
      </c>
      <c r="F140" t="s">
        <v>1947</v>
      </c>
      <c r="G140" t="s">
        <v>983</v>
      </c>
      <c r="I140">
        <v>1364</v>
      </c>
      <c r="J140" t="s">
        <v>154</v>
      </c>
      <c r="K140" s="1">
        <v>45259</v>
      </c>
      <c r="L140" s="1">
        <v>45329</v>
      </c>
      <c r="M140" s="1">
        <v>44979</v>
      </c>
      <c r="N140" s="1">
        <v>1</v>
      </c>
      <c r="O140" s="1" t="s">
        <v>984</v>
      </c>
      <c r="P140" t="s">
        <v>985</v>
      </c>
      <c r="Q140" t="s">
        <v>175</v>
      </c>
      <c r="R140" t="s">
        <v>43</v>
      </c>
      <c r="S140" t="s">
        <v>45</v>
      </c>
      <c r="T140" t="s">
        <v>786</v>
      </c>
      <c r="U140" t="s">
        <v>30</v>
      </c>
      <c r="V140" s="1">
        <v>45338</v>
      </c>
      <c r="W140" s="1" t="s">
        <v>53</v>
      </c>
      <c r="X140" t="s">
        <v>32</v>
      </c>
      <c r="Y140" s="1">
        <v>45338</v>
      </c>
      <c r="AA140" t="s">
        <v>705</v>
      </c>
      <c r="AB140" t="s">
        <v>243</v>
      </c>
      <c r="AC140" t="str">
        <f>INDEX('DB Description'!$A$1:$B$23,MATCH(Tabela2[[#This Row],[Filial DB code]],'DB Description'!A:A,),2)</f>
        <v>Bauko</v>
      </c>
      <c r="AD140" s="9">
        <f>Tabela2[[#This Row],[Issue2]]-Tabela2[[#This Row],[Failure2]]</f>
        <v>79</v>
      </c>
      <c r="AE140" t="str">
        <f t="shared" si="25"/>
        <v>FY2023</v>
      </c>
      <c r="AF140">
        <f>YEAR(Tabela2[[#This Row],[Issue2]])</f>
        <v>2024</v>
      </c>
    </row>
    <row r="141" spans="1:32" x14ac:dyDescent="0.35">
      <c r="A141" t="s">
        <v>986</v>
      </c>
      <c r="B141" t="s">
        <v>987</v>
      </c>
      <c r="C141" t="s">
        <v>348</v>
      </c>
      <c r="D141" t="s">
        <v>988</v>
      </c>
      <c r="E141" t="s">
        <v>1853</v>
      </c>
      <c r="F141" t="s">
        <v>1946</v>
      </c>
      <c r="G141" t="s">
        <v>989</v>
      </c>
      <c r="I141">
        <v>11</v>
      </c>
      <c r="J141" t="s">
        <v>332</v>
      </c>
      <c r="K141" s="1">
        <v>45338</v>
      </c>
      <c r="L141" s="1"/>
      <c r="M141" s="1">
        <v>44772</v>
      </c>
      <c r="N141" s="1">
        <v>1</v>
      </c>
      <c r="O141" s="1" t="s">
        <v>990</v>
      </c>
      <c r="P141" t="s">
        <v>991</v>
      </c>
      <c r="Q141" t="s">
        <v>42</v>
      </c>
      <c r="R141" t="s">
        <v>445</v>
      </c>
      <c r="S141" t="s">
        <v>45</v>
      </c>
      <c r="T141" t="s">
        <v>329</v>
      </c>
      <c r="U141" t="s">
        <v>30</v>
      </c>
      <c r="V141" s="1">
        <v>45341</v>
      </c>
      <c r="W141" s="1" t="s">
        <v>55</v>
      </c>
      <c r="X141" t="s">
        <v>32</v>
      </c>
      <c r="Y141" s="1">
        <v>45341</v>
      </c>
      <c r="AA141" t="s">
        <v>784</v>
      </c>
      <c r="AB141" t="s">
        <v>1513</v>
      </c>
      <c r="AC141" t="str">
        <f>INDEX('DB Description'!$A$1:$B$23,MATCH(Tabela2[[#This Row],[Filial DB code]],'DB Description'!A:A,),2)</f>
        <v>DCCO</v>
      </c>
      <c r="AD141" s="9">
        <f>Tabela2[[#This Row],[Issue2]]-Tabela2[[#This Row],[Failure2]]</f>
        <v>3</v>
      </c>
      <c r="AE141" t="str">
        <f t="shared" si="25"/>
        <v>FY2023</v>
      </c>
      <c r="AF141">
        <f>YEAR(Tabela2[[#This Row],[Issue2]])</f>
        <v>2024</v>
      </c>
    </row>
    <row r="142" spans="1:32" x14ac:dyDescent="0.35">
      <c r="A142" t="s">
        <v>992</v>
      </c>
      <c r="B142" t="s">
        <v>993</v>
      </c>
      <c r="C142" t="s">
        <v>348</v>
      </c>
      <c r="D142" t="s">
        <v>762</v>
      </c>
      <c r="E142" t="s">
        <v>1847</v>
      </c>
      <c r="F142" t="s">
        <v>1883</v>
      </c>
      <c r="G142" t="s">
        <v>994</v>
      </c>
      <c r="H142" t="s">
        <v>949</v>
      </c>
      <c r="I142">
        <v>2130</v>
      </c>
      <c r="J142" t="s">
        <v>37</v>
      </c>
      <c r="K142" s="1">
        <v>45026</v>
      </c>
      <c r="L142" s="1">
        <v>45344</v>
      </c>
      <c r="M142" s="1">
        <v>44760</v>
      </c>
      <c r="N142" s="1">
        <v>44861</v>
      </c>
      <c r="O142" s="1" t="s">
        <v>244</v>
      </c>
      <c r="P142" t="s">
        <v>245</v>
      </c>
      <c r="Q142" t="s">
        <v>78</v>
      </c>
      <c r="R142" t="s">
        <v>50</v>
      </c>
      <c r="S142" t="s">
        <v>45</v>
      </c>
      <c r="U142" t="s">
        <v>38</v>
      </c>
      <c r="V142" s="1">
        <v>45344</v>
      </c>
      <c r="W142" s="1" t="s">
        <v>53</v>
      </c>
      <c r="X142" t="s">
        <v>32</v>
      </c>
      <c r="Y142" s="1">
        <v>45344</v>
      </c>
      <c r="AA142" t="s">
        <v>528</v>
      </c>
      <c r="AB142" t="s">
        <v>1520</v>
      </c>
      <c r="AC142" t="str">
        <f>INDEX('DB Description'!$A$1:$B$23,MATCH(Tabela2[[#This Row],[Filial DB code]],'DB Description'!A:A,),2)</f>
        <v>Bauko</v>
      </c>
      <c r="AD142" s="9">
        <f>Tabela2[[#This Row],[Issue2]]-Tabela2[[#This Row],[Failure2]]</f>
        <v>318</v>
      </c>
      <c r="AE142" t="str">
        <f t="shared" si="25"/>
        <v>FY2023</v>
      </c>
      <c r="AF142">
        <f>YEAR(Tabela2[[#This Row],[Issue2]])</f>
        <v>2024</v>
      </c>
    </row>
    <row r="143" spans="1:32" x14ac:dyDescent="0.35">
      <c r="A143" t="s">
        <v>995</v>
      </c>
      <c r="B143" t="s">
        <v>996</v>
      </c>
      <c r="C143" t="s">
        <v>348</v>
      </c>
      <c r="D143" t="s">
        <v>997</v>
      </c>
      <c r="E143" t="s">
        <v>1873</v>
      </c>
      <c r="F143" t="s">
        <v>1924</v>
      </c>
      <c r="G143" t="s">
        <v>998</v>
      </c>
      <c r="I143">
        <v>1459</v>
      </c>
      <c r="J143" t="s">
        <v>37</v>
      </c>
      <c r="K143" s="1">
        <v>45323</v>
      </c>
      <c r="L143" s="1">
        <v>45337</v>
      </c>
      <c r="M143" s="1">
        <v>44889</v>
      </c>
      <c r="N143" s="1">
        <v>45105</v>
      </c>
      <c r="O143" s="1" t="s">
        <v>437</v>
      </c>
      <c r="P143" t="s">
        <v>137</v>
      </c>
      <c r="Q143" t="s">
        <v>42</v>
      </c>
      <c r="R143" t="s">
        <v>40</v>
      </c>
      <c r="S143" t="s">
        <v>45</v>
      </c>
      <c r="U143" t="s">
        <v>38</v>
      </c>
      <c r="V143" s="1">
        <v>45350</v>
      </c>
      <c r="W143" s="1" t="s">
        <v>64</v>
      </c>
      <c r="X143" t="s">
        <v>32</v>
      </c>
      <c r="Y143" s="1">
        <v>45350</v>
      </c>
      <c r="AA143" t="s">
        <v>344</v>
      </c>
      <c r="AB143" t="s">
        <v>1522</v>
      </c>
      <c r="AC143" t="str">
        <f>INDEX('DB Description'!$A$1:$B$23,MATCH(Tabela2[[#This Row],[Filial DB code]],'DB Description'!A:A,),2)</f>
        <v>Mason</v>
      </c>
      <c r="AD143" s="9">
        <f>Tabela2[[#This Row],[Issue2]]-Tabela2[[#This Row],[Failure2]]</f>
        <v>27</v>
      </c>
      <c r="AE143" t="str">
        <f t="shared" ref="AE143:AE150" si="26">"FY"&amp;IF(MONTH(Y143)&gt;=4,YEAR(Y143),YEAR(Y143)-1)</f>
        <v>FY2023</v>
      </c>
      <c r="AF143">
        <f>YEAR(Tabela2[[#This Row],[Issue2]])</f>
        <v>2024</v>
      </c>
    </row>
    <row r="144" spans="1:32" x14ac:dyDescent="0.35">
      <c r="A144" t="s">
        <v>999</v>
      </c>
      <c r="B144" t="s">
        <v>1000</v>
      </c>
      <c r="C144" t="s">
        <v>348</v>
      </c>
      <c r="D144" t="s">
        <v>276</v>
      </c>
      <c r="E144" t="s">
        <v>1901</v>
      </c>
      <c r="F144" t="s">
        <v>1944</v>
      </c>
      <c r="G144" t="s">
        <v>1001</v>
      </c>
      <c r="I144">
        <v>2205</v>
      </c>
      <c r="J144" t="s">
        <v>37</v>
      </c>
      <c r="K144" s="1">
        <v>45314</v>
      </c>
      <c r="L144" s="1"/>
      <c r="M144" s="1">
        <v>44876</v>
      </c>
      <c r="N144" s="1">
        <v>1</v>
      </c>
      <c r="O144" s="1" t="s">
        <v>746</v>
      </c>
      <c r="P144" t="s">
        <v>1002</v>
      </c>
      <c r="Q144" t="s">
        <v>65</v>
      </c>
      <c r="R144" t="s">
        <v>34</v>
      </c>
      <c r="S144" t="s">
        <v>45</v>
      </c>
      <c r="U144" t="s">
        <v>38</v>
      </c>
      <c r="V144" s="1">
        <v>45351</v>
      </c>
      <c r="W144" s="1" t="s">
        <v>481</v>
      </c>
      <c r="X144" t="s">
        <v>32</v>
      </c>
      <c r="Y144" s="1">
        <v>45351</v>
      </c>
      <c r="AA144" t="s">
        <v>482</v>
      </c>
      <c r="AB144" t="s">
        <v>1517</v>
      </c>
      <c r="AC144" t="str">
        <f>INDEX('DB Description'!$A$1:$B$23,MATCH(Tabela2[[#This Row],[Filial DB code]],'DB Description'!A:A,),2)</f>
        <v>Mason</v>
      </c>
      <c r="AD144" s="9">
        <f>Tabela2[[#This Row],[Issue2]]-Tabela2[[#This Row],[Failure2]]</f>
        <v>37</v>
      </c>
      <c r="AE144" t="str">
        <f t="shared" si="26"/>
        <v>FY2023</v>
      </c>
      <c r="AF144">
        <f>YEAR(Tabela2[[#This Row],[Issue2]])</f>
        <v>2024</v>
      </c>
    </row>
    <row r="145" spans="1:32" x14ac:dyDescent="0.35">
      <c r="A145" t="s">
        <v>1003</v>
      </c>
      <c r="B145" t="s">
        <v>707</v>
      </c>
      <c r="C145" t="s">
        <v>348</v>
      </c>
      <c r="D145" t="s">
        <v>753</v>
      </c>
      <c r="E145" t="s">
        <v>1873</v>
      </c>
      <c r="F145" t="s">
        <v>1924</v>
      </c>
      <c r="G145" t="s">
        <v>436</v>
      </c>
      <c r="I145">
        <v>1444</v>
      </c>
      <c r="J145" t="s">
        <v>37</v>
      </c>
      <c r="K145" s="1">
        <v>45351</v>
      </c>
      <c r="L145" s="1"/>
      <c r="M145" s="1">
        <v>44848</v>
      </c>
      <c r="N145" s="1">
        <v>45078</v>
      </c>
      <c r="O145" s="1" t="s">
        <v>437</v>
      </c>
      <c r="P145" t="s">
        <v>211</v>
      </c>
      <c r="Q145" t="s">
        <v>94</v>
      </c>
      <c r="R145" t="s">
        <v>40</v>
      </c>
      <c r="S145" t="s">
        <v>45</v>
      </c>
      <c r="U145" t="s">
        <v>38</v>
      </c>
      <c r="V145" s="1">
        <v>45351</v>
      </c>
      <c r="W145" s="1" t="s">
        <v>53</v>
      </c>
      <c r="X145" t="s">
        <v>32</v>
      </c>
      <c r="Y145" s="1">
        <v>45351</v>
      </c>
      <c r="AA145" t="s">
        <v>749</v>
      </c>
      <c r="AB145" t="s">
        <v>1512</v>
      </c>
      <c r="AC145" t="str">
        <f>INDEX('DB Description'!$A$1:$B$23,MATCH(Tabela2[[#This Row],[Filial DB code]],'DB Description'!A:A,),2)</f>
        <v>Bauko</v>
      </c>
      <c r="AD145" s="9">
        <f>Tabela2[[#This Row],[Issue2]]-Tabela2[[#This Row],[Failure2]]</f>
        <v>0</v>
      </c>
      <c r="AE145" t="str">
        <f t="shared" si="26"/>
        <v>FY2023</v>
      </c>
      <c r="AF145">
        <f>YEAR(Tabela2[[#This Row],[Issue2]])</f>
        <v>2024</v>
      </c>
    </row>
    <row r="146" spans="1:32" x14ac:dyDescent="0.35">
      <c r="A146" t="s">
        <v>1004</v>
      </c>
      <c r="B146" t="s">
        <v>1005</v>
      </c>
      <c r="C146" t="s">
        <v>348</v>
      </c>
      <c r="D146" t="s">
        <v>189</v>
      </c>
      <c r="E146" t="s">
        <v>1933</v>
      </c>
      <c r="F146" t="s">
        <v>1945</v>
      </c>
      <c r="G146" t="s">
        <v>1006</v>
      </c>
      <c r="I146">
        <v>1172</v>
      </c>
      <c r="J146" t="s">
        <v>37</v>
      </c>
      <c r="K146" s="1">
        <v>45357</v>
      </c>
      <c r="L146" s="1"/>
      <c r="M146" s="1">
        <v>44784</v>
      </c>
      <c r="N146" s="1">
        <v>44805</v>
      </c>
      <c r="O146" s="1" t="s">
        <v>1007</v>
      </c>
      <c r="P146" t="s">
        <v>83</v>
      </c>
      <c r="Q146" t="s">
        <v>78</v>
      </c>
      <c r="R146" t="s">
        <v>33</v>
      </c>
      <c r="S146" t="s">
        <v>45</v>
      </c>
      <c r="U146" t="s">
        <v>38</v>
      </c>
      <c r="V146" s="1">
        <v>45357</v>
      </c>
      <c r="W146" s="1" t="s">
        <v>31</v>
      </c>
      <c r="X146" t="s">
        <v>32</v>
      </c>
      <c r="Y146" s="1">
        <v>45357</v>
      </c>
      <c r="AA146" t="s">
        <v>370</v>
      </c>
      <c r="AB146" t="s">
        <v>1523</v>
      </c>
      <c r="AC146" t="str">
        <f>INDEX('DB Description'!$A$1:$B$23,MATCH(Tabela2[[#This Row],[Filial DB code]],'DB Description'!A:A,),2)</f>
        <v>FW</v>
      </c>
      <c r="AD146" s="9">
        <f>Tabela2[[#This Row],[Issue2]]-Tabela2[[#This Row],[Failure2]]</f>
        <v>0</v>
      </c>
      <c r="AE146" t="str">
        <f t="shared" si="26"/>
        <v>FY2023</v>
      </c>
      <c r="AF146">
        <f>YEAR(Tabela2[[#This Row],[Issue2]])</f>
        <v>2024</v>
      </c>
    </row>
    <row r="147" spans="1:32" x14ac:dyDescent="0.35">
      <c r="A147" t="s">
        <v>1008</v>
      </c>
      <c r="B147" t="s">
        <v>1009</v>
      </c>
      <c r="C147" t="s">
        <v>348</v>
      </c>
      <c r="D147" t="s">
        <v>287</v>
      </c>
      <c r="E147" t="s">
        <v>1912</v>
      </c>
      <c r="F147" t="s">
        <v>1913</v>
      </c>
      <c r="G147" t="s">
        <v>1010</v>
      </c>
      <c r="I147">
        <v>564</v>
      </c>
      <c r="J147" t="s">
        <v>37</v>
      </c>
      <c r="K147" s="1">
        <v>45299</v>
      </c>
      <c r="L147" s="1"/>
      <c r="M147" s="1">
        <v>45149</v>
      </c>
      <c r="N147" s="1">
        <v>45198</v>
      </c>
      <c r="O147" s="1" t="s">
        <v>322</v>
      </c>
      <c r="P147" t="s">
        <v>232</v>
      </c>
      <c r="Q147" t="s">
        <v>204</v>
      </c>
      <c r="R147" t="s">
        <v>84</v>
      </c>
      <c r="S147" t="s">
        <v>45</v>
      </c>
      <c r="U147" t="s">
        <v>38</v>
      </c>
      <c r="V147" s="1">
        <v>45359</v>
      </c>
      <c r="W147" s="1" t="s">
        <v>53</v>
      </c>
      <c r="X147" t="s">
        <v>32</v>
      </c>
      <c r="Y147" s="1">
        <v>45359</v>
      </c>
      <c r="AA147" t="s">
        <v>705</v>
      </c>
      <c r="AB147" t="s">
        <v>243</v>
      </c>
      <c r="AC147" t="str">
        <f>INDEX('DB Description'!$A$1:$B$23,MATCH(Tabela2[[#This Row],[Filial DB code]],'DB Description'!A:A,),2)</f>
        <v>Bauko</v>
      </c>
      <c r="AD147" s="9">
        <f>Tabela2[[#This Row],[Issue2]]-Tabela2[[#This Row],[Failure2]]</f>
        <v>60</v>
      </c>
      <c r="AE147" t="str">
        <f t="shared" si="26"/>
        <v>FY2023</v>
      </c>
      <c r="AF147">
        <f>YEAR(Tabela2[[#This Row],[Issue2]])</f>
        <v>2024</v>
      </c>
    </row>
    <row r="148" spans="1:32" x14ac:dyDescent="0.35">
      <c r="A148" t="s">
        <v>1011</v>
      </c>
      <c r="B148" t="s">
        <v>1012</v>
      </c>
      <c r="C148" t="s">
        <v>348</v>
      </c>
      <c r="D148" t="s">
        <v>1013</v>
      </c>
      <c r="E148" t="s">
        <v>1878</v>
      </c>
      <c r="F148" t="s">
        <v>681</v>
      </c>
      <c r="G148" t="s">
        <v>485</v>
      </c>
      <c r="I148">
        <v>251</v>
      </c>
      <c r="J148" t="s">
        <v>37</v>
      </c>
      <c r="K148" s="1">
        <v>45349</v>
      </c>
      <c r="L148" s="1"/>
      <c r="M148" s="1">
        <v>44860</v>
      </c>
      <c r="N148" s="1">
        <v>44949</v>
      </c>
      <c r="O148" s="1" t="s">
        <v>333</v>
      </c>
      <c r="P148" t="s">
        <v>1014</v>
      </c>
      <c r="Q148" t="s">
        <v>204</v>
      </c>
      <c r="R148" t="s">
        <v>162</v>
      </c>
      <c r="S148" t="s">
        <v>45</v>
      </c>
      <c r="U148" t="s">
        <v>38</v>
      </c>
      <c r="V148" s="1">
        <v>45363</v>
      </c>
      <c r="W148" s="1" t="s">
        <v>61</v>
      </c>
      <c r="X148" t="s">
        <v>32</v>
      </c>
      <c r="Y148" s="1">
        <v>45363</v>
      </c>
      <c r="AA148" t="s">
        <v>878</v>
      </c>
      <c r="AB148" t="s">
        <v>1631</v>
      </c>
      <c r="AC148" t="str">
        <f>INDEX('DB Description'!$A$1:$B$23,MATCH(Tabela2[[#This Row],[Filial DB code]],'DB Description'!A:A,),2)</f>
        <v>VAMOS (2131F)</v>
      </c>
      <c r="AD148" s="9">
        <f>Tabela2[[#This Row],[Issue2]]-Tabela2[[#This Row],[Failure2]]</f>
        <v>14</v>
      </c>
      <c r="AE148" t="str">
        <f t="shared" si="26"/>
        <v>FY2023</v>
      </c>
      <c r="AF148">
        <f>YEAR(Tabela2[[#This Row],[Issue2]])</f>
        <v>2024</v>
      </c>
    </row>
    <row r="149" spans="1:32" x14ac:dyDescent="0.35">
      <c r="A149" t="s">
        <v>1015</v>
      </c>
      <c r="B149" t="s">
        <v>1016</v>
      </c>
      <c r="C149" t="s">
        <v>348</v>
      </c>
      <c r="D149" t="s">
        <v>274</v>
      </c>
      <c r="E149" t="s">
        <v>1847</v>
      </c>
      <c r="F149" t="s">
        <v>1883</v>
      </c>
      <c r="G149" t="s">
        <v>994</v>
      </c>
      <c r="I149">
        <v>2083</v>
      </c>
      <c r="J149" t="s">
        <v>37</v>
      </c>
      <c r="K149" s="1">
        <v>45146</v>
      </c>
      <c r="L149" s="1"/>
      <c r="M149" s="1">
        <v>44830</v>
      </c>
      <c r="N149" s="1">
        <v>44861</v>
      </c>
      <c r="O149" s="1" t="s">
        <v>244</v>
      </c>
      <c r="P149" t="s">
        <v>245</v>
      </c>
      <c r="Q149" t="s">
        <v>78</v>
      </c>
      <c r="R149" t="s">
        <v>33</v>
      </c>
      <c r="S149" t="s">
        <v>45</v>
      </c>
      <c r="U149" t="s">
        <v>38</v>
      </c>
      <c r="V149" s="1">
        <v>45365</v>
      </c>
      <c r="W149" s="1" t="s">
        <v>53</v>
      </c>
      <c r="X149" t="s">
        <v>32</v>
      </c>
      <c r="Y149" s="1">
        <v>45365</v>
      </c>
      <c r="AA149" t="s">
        <v>528</v>
      </c>
      <c r="AB149" t="s">
        <v>1520</v>
      </c>
      <c r="AC149" t="str">
        <f>INDEX('DB Description'!$A$1:$B$23,MATCH(Tabela2[[#This Row],[Filial DB code]],'DB Description'!A:A,),2)</f>
        <v>Bauko</v>
      </c>
      <c r="AD149" s="9">
        <f>Tabela2[[#This Row],[Issue2]]-Tabela2[[#This Row],[Failure2]]</f>
        <v>219</v>
      </c>
      <c r="AE149" t="str">
        <f t="shared" si="26"/>
        <v>FY2023</v>
      </c>
      <c r="AF149">
        <f>YEAR(Tabela2[[#This Row],[Issue2]])</f>
        <v>2024</v>
      </c>
    </row>
    <row r="150" spans="1:32" x14ac:dyDescent="0.35">
      <c r="A150" t="s">
        <v>1018</v>
      </c>
      <c r="B150" t="s">
        <v>1019</v>
      </c>
      <c r="C150" t="s">
        <v>348</v>
      </c>
      <c r="D150" t="s">
        <v>753</v>
      </c>
      <c r="E150" t="s">
        <v>1928</v>
      </c>
      <c r="F150" t="s">
        <v>248</v>
      </c>
      <c r="G150" t="s">
        <v>1020</v>
      </c>
      <c r="I150">
        <v>1455</v>
      </c>
      <c r="J150" t="s">
        <v>37</v>
      </c>
      <c r="K150" s="1">
        <v>45359</v>
      </c>
      <c r="L150" s="1"/>
      <c r="M150" s="1">
        <v>44848</v>
      </c>
      <c r="N150" s="1">
        <v>45078</v>
      </c>
      <c r="O150" s="1" t="s">
        <v>665</v>
      </c>
      <c r="P150" t="s">
        <v>128</v>
      </c>
      <c r="Q150" t="s">
        <v>63</v>
      </c>
      <c r="R150" t="s">
        <v>50</v>
      </c>
      <c r="S150" t="s">
        <v>45</v>
      </c>
      <c r="U150" t="s">
        <v>38</v>
      </c>
      <c r="V150" s="1">
        <v>45366</v>
      </c>
      <c r="W150" s="1" t="s">
        <v>53</v>
      </c>
      <c r="X150" t="s">
        <v>32</v>
      </c>
      <c r="Y150" s="1">
        <v>45366</v>
      </c>
      <c r="AA150" t="s">
        <v>749</v>
      </c>
      <c r="AB150" t="s">
        <v>1512</v>
      </c>
      <c r="AC150" t="str">
        <f>INDEX('DB Description'!$A$1:$B$23,MATCH(Tabela2[[#This Row],[Filial DB code]],'DB Description'!A:A,),2)</f>
        <v>Bauko</v>
      </c>
      <c r="AD150" s="9">
        <f>Tabela2[[#This Row],[Issue2]]-Tabela2[[#This Row],[Failure2]]</f>
        <v>7</v>
      </c>
      <c r="AE150" t="str">
        <f t="shared" si="26"/>
        <v>FY2023</v>
      </c>
      <c r="AF150">
        <f>YEAR(Tabela2[[#This Row],[Issue2]])</f>
        <v>2024</v>
      </c>
    </row>
    <row r="151" spans="1:32" x14ac:dyDescent="0.35">
      <c r="A151" t="s">
        <v>1021</v>
      </c>
      <c r="B151" t="s">
        <v>1022</v>
      </c>
      <c r="C151" t="s">
        <v>348</v>
      </c>
      <c r="D151" t="s">
        <v>1023</v>
      </c>
      <c r="E151" t="s">
        <v>1853</v>
      </c>
      <c r="F151" t="s">
        <v>1942</v>
      </c>
      <c r="I151">
        <v>4.2</v>
      </c>
      <c r="J151" t="s">
        <v>332</v>
      </c>
      <c r="K151" s="1">
        <v>45355</v>
      </c>
      <c r="L151" s="1">
        <v>45369</v>
      </c>
      <c r="M151" s="1">
        <v>45348</v>
      </c>
      <c r="N151" s="1">
        <v>1</v>
      </c>
      <c r="O151" s="1" t="s">
        <v>1024</v>
      </c>
      <c r="P151" t="s">
        <v>1025</v>
      </c>
      <c r="Q151" t="s">
        <v>204</v>
      </c>
      <c r="R151" t="s">
        <v>223</v>
      </c>
      <c r="S151" t="s">
        <v>45</v>
      </c>
      <c r="T151" t="s">
        <v>329</v>
      </c>
      <c r="U151" t="s">
        <v>30</v>
      </c>
      <c r="V151" s="1">
        <v>45369</v>
      </c>
      <c r="W151" s="1" t="s">
        <v>53</v>
      </c>
      <c r="X151" t="s">
        <v>32</v>
      </c>
      <c r="Y151" s="1">
        <v>45369</v>
      </c>
      <c r="AA151" t="s">
        <v>528</v>
      </c>
      <c r="AB151" t="s">
        <v>1520</v>
      </c>
      <c r="AC151" t="str">
        <f>INDEX('DB Description'!$A$1:$B$23,MATCH(Tabela2[[#This Row],[Filial DB code]],'DB Description'!A:A,),2)</f>
        <v>Bauko</v>
      </c>
      <c r="AD151" s="9">
        <f>Tabela2[[#This Row],[Issue2]]-Tabela2[[#This Row],[Failure2]]</f>
        <v>14</v>
      </c>
      <c r="AE151" t="str">
        <f t="shared" ref="AE151:AE156" si="27">"FY"&amp;IF(MONTH(Y151)&gt;=4,YEAR(Y151),YEAR(Y151)-1)</f>
        <v>FY2023</v>
      </c>
      <c r="AF151">
        <f>YEAR(Tabela2[[#This Row],[Issue2]])</f>
        <v>2024</v>
      </c>
    </row>
    <row r="152" spans="1:32" x14ac:dyDescent="0.35">
      <c r="A152" t="s">
        <v>1027</v>
      </c>
      <c r="B152" t="s">
        <v>1028</v>
      </c>
      <c r="C152" t="s">
        <v>348</v>
      </c>
      <c r="D152" t="s">
        <v>321</v>
      </c>
      <c r="E152" t="s">
        <v>1948</v>
      </c>
      <c r="F152" t="s">
        <v>1943</v>
      </c>
      <c r="G152" t="s">
        <v>1029</v>
      </c>
      <c r="I152">
        <v>1208</v>
      </c>
      <c r="J152" t="s">
        <v>332</v>
      </c>
      <c r="K152" s="1">
        <v>45345</v>
      </c>
      <c r="L152" s="1">
        <v>45352</v>
      </c>
      <c r="M152" s="1">
        <v>44901</v>
      </c>
      <c r="N152" s="1">
        <v>45036</v>
      </c>
      <c r="O152" s="1" t="s">
        <v>286</v>
      </c>
      <c r="P152" t="s">
        <v>277</v>
      </c>
      <c r="Q152" t="s">
        <v>204</v>
      </c>
      <c r="R152" t="s">
        <v>193</v>
      </c>
      <c r="S152" t="s">
        <v>45</v>
      </c>
      <c r="T152" t="s">
        <v>329</v>
      </c>
      <c r="U152" t="s">
        <v>30</v>
      </c>
      <c r="V152" s="1">
        <v>45373</v>
      </c>
      <c r="W152" s="1" t="s">
        <v>46</v>
      </c>
      <c r="X152" t="s">
        <v>32</v>
      </c>
      <c r="Y152" s="1">
        <v>45373</v>
      </c>
      <c r="Z152" s="1" t="s">
        <v>1030</v>
      </c>
      <c r="AA152" t="s">
        <v>543</v>
      </c>
      <c r="AB152" t="s">
        <v>1518</v>
      </c>
      <c r="AC152" t="str">
        <f>INDEX('DB Description'!$A$1:$B$23,MATCH(Tabela2[[#This Row],[Filial DB code]],'DB Description'!A:A,),2)</f>
        <v xml:space="preserve">Vianmaq </v>
      </c>
      <c r="AD152" s="9">
        <f>Tabela2[[#This Row],[Issue2]]-Tabela2[[#This Row],[Failure2]]</f>
        <v>28</v>
      </c>
      <c r="AE152" t="str">
        <f t="shared" si="27"/>
        <v>FY2023</v>
      </c>
      <c r="AF152">
        <f>YEAR(Tabela2[[#This Row],[Issue2]])</f>
        <v>2024</v>
      </c>
    </row>
    <row r="153" spans="1:32" x14ac:dyDescent="0.35">
      <c r="A153" t="s">
        <v>1031</v>
      </c>
      <c r="B153" t="s">
        <v>1032</v>
      </c>
      <c r="C153" t="s">
        <v>348</v>
      </c>
      <c r="D153" t="s">
        <v>321</v>
      </c>
      <c r="E153" t="s">
        <v>1846</v>
      </c>
      <c r="F153" t="s">
        <v>1851</v>
      </c>
      <c r="G153" t="s">
        <v>1033</v>
      </c>
      <c r="I153">
        <v>1320</v>
      </c>
      <c r="J153" t="s">
        <v>39</v>
      </c>
      <c r="K153" s="1">
        <v>45370</v>
      </c>
      <c r="L153" s="1"/>
      <c r="M153" s="1">
        <v>44901</v>
      </c>
      <c r="N153" s="1">
        <v>45036</v>
      </c>
      <c r="O153" s="1" t="s">
        <v>159</v>
      </c>
      <c r="P153" t="s">
        <v>747</v>
      </c>
      <c r="Q153" t="s">
        <v>116</v>
      </c>
      <c r="R153" t="s">
        <v>40</v>
      </c>
      <c r="S153" t="s">
        <v>45</v>
      </c>
      <c r="T153" t="s">
        <v>648</v>
      </c>
      <c r="U153" t="s">
        <v>30</v>
      </c>
      <c r="V153" s="1">
        <v>45376</v>
      </c>
      <c r="W153" s="1" t="s">
        <v>46</v>
      </c>
      <c r="X153" t="s">
        <v>32</v>
      </c>
      <c r="Y153" s="1">
        <v>45376</v>
      </c>
      <c r="Z153" s="1" t="s">
        <v>1034</v>
      </c>
      <c r="AA153" t="s">
        <v>543</v>
      </c>
      <c r="AB153" t="s">
        <v>1518</v>
      </c>
      <c r="AC153" t="str">
        <f>INDEX('DB Description'!$A$1:$B$23,MATCH(Tabela2[[#This Row],[Filial DB code]],'DB Description'!A:A,),2)</f>
        <v xml:space="preserve">Vianmaq </v>
      </c>
      <c r="AD153" s="9">
        <f>Tabela2[[#This Row],[Issue2]]-Tabela2[[#This Row],[Failure2]]</f>
        <v>6</v>
      </c>
      <c r="AE153" t="str">
        <f t="shared" si="27"/>
        <v>FY2023</v>
      </c>
      <c r="AF153">
        <f>YEAR(Tabela2[[#This Row],[Issue2]])</f>
        <v>2024</v>
      </c>
    </row>
    <row r="154" spans="1:32" x14ac:dyDescent="0.35">
      <c r="A154" t="s">
        <v>1035</v>
      </c>
      <c r="B154" t="s">
        <v>1036</v>
      </c>
      <c r="C154" t="s">
        <v>348</v>
      </c>
      <c r="D154" t="s">
        <v>589</v>
      </c>
      <c r="E154" s="4" t="s">
        <v>1862</v>
      </c>
      <c r="F154" t="s">
        <v>1893</v>
      </c>
      <c r="G154" t="s">
        <v>1037</v>
      </c>
      <c r="I154">
        <v>607</v>
      </c>
      <c r="J154" t="s">
        <v>37</v>
      </c>
      <c r="K154" s="1">
        <v>45332</v>
      </c>
      <c r="L154" s="1"/>
      <c r="M154" s="1">
        <v>44848</v>
      </c>
      <c r="N154" s="1">
        <v>44937</v>
      </c>
      <c r="O154" s="1" t="s">
        <v>624</v>
      </c>
      <c r="P154" t="s">
        <v>185</v>
      </c>
      <c r="Q154" t="s">
        <v>204</v>
      </c>
      <c r="R154" t="s">
        <v>50</v>
      </c>
      <c r="S154" t="s">
        <v>45</v>
      </c>
      <c r="U154" t="s">
        <v>38</v>
      </c>
      <c r="V154" s="1">
        <v>45378</v>
      </c>
      <c r="W154" s="1" t="s">
        <v>46</v>
      </c>
      <c r="X154" t="s">
        <v>32</v>
      </c>
      <c r="Y154" s="1">
        <v>45379</v>
      </c>
      <c r="Z154" s="1" t="s">
        <v>1038</v>
      </c>
      <c r="AA154" t="s">
        <v>543</v>
      </c>
      <c r="AB154" t="s">
        <v>1518</v>
      </c>
      <c r="AC154" t="str">
        <f>INDEX('DB Description'!$A$1:$B$23,MATCH(Tabela2[[#This Row],[Filial DB code]],'DB Description'!A:A,),2)</f>
        <v xml:space="preserve">Vianmaq </v>
      </c>
      <c r="AD154" s="9">
        <f>Tabela2[[#This Row],[Issue2]]-Tabela2[[#This Row],[Failure2]]</f>
        <v>47</v>
      </c>
      <c r="AE154" t="str">
        <f t="shared" si="27"/>
        <v>FY2023</v>
      </c>
      <c r="AF154">
        <f>YEAR(Tabela2[[#This Row],[Issue2]])</f>
        <v>2024</v>
      </c>
    </row>
    <row r="155" spans="1:32" x14ac:dyDescent="0.35">
      <c r="A155" t="s">
        <v>1039</v>
      </c>
      <c r="B155" t="s">
        <v>1016</v>
      </c>
      <c r="C155" t="s">
        <v>348</v>
      </c>
      <c r="D155" t="s">
        <v>252</v>
      </c>
      <c r="E155" t="s">
        <v>1847</v>
      </c>
      <c r="F155" t="s">
        <v>1883</v>
      </c>
      <c r="G155" t="s">
        <v>994</v>
      </c>
      <c r="H155" t="s">
        <v>949</v>
      </c>
      <c r="I155">
        <v>1000</v>
      </c>
      <c r="J155" t="s">
        <v>37</v>
      </c>
      <c r="K155" s="1">
        <v>45394</v>
      </c>
      <c r="L155" s="1"/>
      <c r="M155" s="1">
        <v>45107</v>
      </c>
      <c r="N155" s="1">
        <v>45174</v>
      </c>
      <c r="O155" s="1" t="s">
        <v>244</v>
      </c>
      <c r="P155" t="s">
        <v>245</v>
      </c>
      <c r="Q155" t="s">
        <v>78</v>
      </c>
      <c r="R155" t="s">
        <v>33</v>
      </c>
      <c r="S155" t="s">
        <v>45</v>
      </c>
      <c r="U155" t="s">
        <v>38</v>
      </c>
      <c r="V155" s="1">
        <v>45394</v>
      </c>
      <c r="W155" s="1" t="s">
        <v>53</v>
      </c>
      <c r="X155" t="s">
        <v>32</v>
      </c>
      <c r="Y155" s="1">
        <v>45394</v>
      </c>
      <c r="AA155" t="s">
        <v>528</v>
      </c>
      <c r="AB155" t="s">
        <v>1520</v>
      </c>
      <c r="AC155" t="str">
        <f>INDEX('DB Description'!$A$1:$B$23,MATCH(Tabela2[[#This Row],[Filial DB code]],'DB Description'!A:A,),2)</f>
        <v>Bauko</v>
      </c>
      <c r="AD155" s="9">
        <f>Tabela2[[#This Row],[Issue2]]-Tabela2[[#This Row],[Failure2]]</f>
        <v>0</v>
      </c>
      <c r="AE155" t="str">
        <f t="shared" si="27"/>
        <v>FY2024</v>
      </c>
      <c r="AF155">
        <f>YEAR(Tabela2[[#This Row],[Issue2]])</f>
        <v>2024</v>
      </c>
    </row>
    <row r="156" spans="1:32" x14ac:dyDescent="0.35">
      <c r="A156" t="s">
        <v>1040</v>
      </c>
      <c r="B156" t="s">
        <v>1041</v>
      </c>
      <c r="C156" t="s">
        <v>348</v>
      </c>
      <c r="D156" t="s">
        <v>234</v>
      </c>
      <c r="E156" t="s">
        <v>1948</v>
      </c>
      <c r="F156" t="s">
        <v>1940</v>
      </c>
      <c r="G156" t="s">
        <v>1042</v>
      </c>
      <c r="I156">
        <v>1499</v>
      </c>
      <c r="J156" t="s">
        <v>37</v>
      </c>
      <c r="K156" s="1">
        <v>45337</v>
      </c>
      <c r="L156" s="1">
        <v>45390</v>
      </c>
      <c r="M156" s="1">
        <v>44830</v>
      </c>
      <c r="N156" s="1">
        <v>44915</v>
      </c>
      <c r="O156" s="1" t="s">
        <v>1043</v>
      </c>
      <c r="P156" t="s">
        <v>151</v>
      </c>
      <c r="Q156" t="s">
        <v>60</v>
      </c>
      <c r="R156" t="s">
        <v>50</v>
      </c>
      <c r="S156" t="s">
        <v>45</v>
      </c>
      <c r="U156" t="s">
        <v>38</v>
      </c>
      <c r="V156" s="1">
        <v>45397</v>
      </c>
      <c r="W156" s="1" t="s">
        <v>61</v>
      </c>
      <c r="X156" t="s">
        <v>32</v>
      </c>
      <c r="Y156" s="1">
        <v>45397</v>
      </c>
      <c r="AA156" t="s">
        <v>878</v>
      </c>
      <c r="AB156" t="s">
        <v>1631</v>
      </c>
      <c r="AC156" t="str">
        <f>INDEX('DB Description'!$A$1:$B$23,MATCH(Tabela2[[#This Row],[Filial DB code]],'DB Description'!A:A,),2)</f>
        <v>VAMOS (2131F)</v>
      </c>
      <c r="AD156" s="9">
        <f>Tabela2[[#This Row],[Issue2]]-Tabela2[[#This Row],[Failure2]]</f>
        <v>60</v>
      </c>
      <c r="AE156" t="str">
        <f t="shared" si="27"/>
        <v>FY2024</v>
      </c>
      <c r="AF156">
        <f>YEAR(Tabela2[[#This Row],[Issue2]])</f>
        <v>2024</v>
      </c>
    </row>
    <row r="157" spans="1:32" x14ac:dyDescent="0.35">
      <c r="A157" t="s">
        <v>1044</v>
      </c>
      <c r="B157" t="s">
        <v>1045</v>
      </c>
      <c r="C157" t="s">
        <v>348</v>
      </c>
      <c r="D157" t="s">
        <v>1046</v>
      </c>
      <c r="E157" t="s">
        <v>1850</v>
      </c>
      <c r="F157" t="s">
        <v>1941</v>
      </c>
      <c r="G157" t="s">
        <v>1047</v>
      </c>
      <c r="H157" t="s">
        <v>1048</v>
      </c>
      <c r="I157">
        <v>1158</v>
      </c>
      <c r="J157" t="s">
        <v>332</v>
      </c>
      <c r="K157" s="1">
        <v>45400</v>
      </c>
      <c r="L157" s="1"/>
      <c r="M157" s="1">
        <v>45120</v>
      </c>
      <c r="N157" s="1">
        <v>45183</v>
      </c>
      <c r="O157" s="1" t="s">
        <v>1049</v>
      </c>
      <c r="P157" t="s">
        <v>544</v>
      </c>
      <c r="Q157" t="s">
        <v>116</v>
      </c>
      <c r="R157" t="s">
        <v>304</v>
      </c>
      <c r="S157" t="s">
        <v>45</v>
      </c>
      <c r="T157" t="s">
        <v>329</v>
      </c>
      <c r="U157" t="s">
        <v>30</v>
      </c>
      <c r="V157" s="1">
        <v>45401</v>
      </c>
      <c r="W157" s="1" t="s">
        <v>53</v>
      </c>
      <c r="X157" t="s">
        <v>32</v>
      </c>
      <c r="Y157" s="1">
        <v>45401</v>
      </c>
      <c r="Z157" s="1" t="s">
        <v>1050</v>
      </c>
      <c r="AA157" t="s">
        <v>749</v>
      </c>
      <c r="AB157" t="s">
        <v>1512</v>
      </c>
      <c r="AC157" t="str">
        <f>INDEX('DB Description'!$A$1:$B$23,MATCH(Tabela2[[#This Row],[Filial DB code]],'DB Description'!A:A,),2)</f>
        <v>Bauko</v>
      </c>
      <c r="AD157" s="9">
        <f>Tabela2[[#This Row],[Issue2]]-Tabela2[[#This Row],[Failure2]]</f>
        <v>1</v>
      </c>
      <c r="AE157" t="str">
        <f t="shared" ref="AE157:AE165" si="28">"FY"&amp;IF(MONTH(Y157)&gt;=4,YEAR(Y157),YEAR(Y157)-1)</f>
        <v>FY2024</v>
      </c>
      <c r="AF157">
        <f>YEAR(Tabela2[[#This Row],[Issue2]])</f>
        <v>2024</v>
      </c>
    </row>
    <row r="158" spans="1:32" x14ac:dyDescent="0.35">
      <c r="A158" t="s">
        <v>1051</v>
      </c>
      <c r="B158" t="s">
        <v>1052</v>
      </c>
      <c r="C158" t="s">
        <v>348</v>
      </c>
      <c r="D158" t="s">
        <v>1053</v>
      </c>
      <c r="E158" t="s">
        <v>1873</v>
      </c>
      <c r="F158" t="s">
        <v>1924</v>
      </c>
      <c r="I158">
        <v>357</v>
      </c>
      <c r="J158" t="s">
        <v>37</v>
      </c>
      <c r="K158" s="1">
        <v>45400</v>
      </c>
      <c r="L158" s="1"/>
      <c r="M158" s="1">
        <v>45090</v>
      </c>
      <c r="N158" s="1">
        <v>1</v>
      </c>
      <c r="O158" s="1" t="s">
        <v>555</v>
      </c>
      <c r="P158" t="s">
        <v>1054</v>
      </c>
      <c r="Q158" t="s">
        <v>204</v>
      </c>
      <c r="R158" t="s">
        <v>193</v>
      </c>
      <c r="S158" t="s">
        <v>45</v>
      </c>
      <c r="U158" t="s">
        <v>38</v>
      </c>
      <c r="V158" s="1">
        <v>45406</v>
      </c>
      <c r="W158" s="1" t="s">
        <v>31</v>
      </c>
      <c r="X158" t="s">
        <v>32</v>
      </c>
      <c r="Y158" s="1">
        <v>45406</v>
      </c>
      <c r="Z158" s="1" t="s">
        <v>1055</v>
      </c>
      <c r="AA158" t="s">
        <v>359</v>
      </c>
      <c r="AB158" t="s">
        <v>1523</v>
      </c>
      <c r="AC158" t="str">
        <f>INDEX('DB Description'!$A$1:$B$23,MATCH(Tabela2[[#This Row],[Filial DB code]],'DB Description'!A:A,),2)</f>
        <v>FW</v>
      </c>
      <c r="AD158" s="9">
        <f>Tabela2[[#This Row],[Issue2]]-Tabela2[[#This Row],[Failure2]]</f>
        <v>6</v>
      </c>
      <c r="AE158" t="str">
        <f t="shared" si="28"/>
        <v>FY2024</v>
      </c>
      <c r="AF158">
        <f>YEAR(Tabela2[[#This Row],[Issue2]])</f>
        <v>2024</v>
      </c>
    </row>
    <row r="159" spans="1:32" x14ac:dyDescent="0.35">
      <c r="A159" t="s">
        <v>1056</v>
      </c>
      <c r="B159" t="s">
        <v>1057</v>
      </c>
      <c r="C159" t="s">
        <v>348</v>
      </c>
      <c r="D159" t="s">
        <v>1058</v>
      </c>
      <c r="E159" t="s">
        <v>1912</v>
      </c>
      <c r="F159" t="s">
        <v>1913</v>
      </c>
      <c r="I159">
        <v>189</v>
      </c>
      <c r="J159" t="s">
        <v>37</v>
      </c>
      <c r="K159" s="1">
        <v>45349</v>
      </c>
      <c r="L159" s="1">
        <v>45377</v>
      </c>
      <c r="M159" s="1">
        <v>45188</v>
      </c>
      <c r="N159" s="1">
        <v>1</v>
      </c>
      <c r="O159" s="1" t="s">
        <v>322</v>
      </c>
      <c r="P159" t="s">
        <v>232</v>
      </c>
      <c r="Q159" t="s">
        <v>65</v>
      </c>
      <c r="R159" t="s">
        <v>84</v>
      </c>
      <c r="S159" t="s">
        <v>45</v>
      </c>
      <c r="U159" t="s">
        <v>38</v>
      </c>
      <c r="V159" s="1">
        <v>45408</v>
      </c>
      <c r="W159" s="1" t="s">
        <v>53</v>
      </c>
      <c r="X159" t="s">
        <v>32</v>
      </c>
      <c r="Y159" s="1">
        <v>45408</v>
      </c>
      <c r="AA159" t="s">
        <v>705</v>
      </c>
      <c r="AB159" t="s">
        <v>243</v>
      </c>
      <c r="AC159" t="str">
        <f>INDEX('DB Description'!$A$1:$B$23,MATCH(Tabela2[[#This Row],[Filial DB code]],'DB Description'!A:A,),2)</f>
        <v>Bauko</v>
      </c>
      <c r="AD159" s="9">
        <f>Tabela2[[#This Row],[Issue2]]-Tabela2[[#This Row],[Failure2]]</f>
        <v>59</v>
      </c>
      <c r="AE159" t="str">
        <f t="shared" si="28"/>
        <v>FY2024</v>
      </c>
      <c r="AF159">
        <f>YEAR(Tabela2[[#This Row],[Issue2]])</f>
        <v>2024</v>
      </c>
    </row>
    <row r="160" spans="1:32" x14ac:dyDescent="0.35">
      <c r="A160" t="s">
        <v>1068</v>
      </c>
      <c r="B160" t="s">
        <v>1069</v>
      </c>
      <c r="C160" t="s">
        <v>348</v>
      </c>
      <c r="D160" t="s">
        <v>1061</v>
      </c>
      <c r="E160" t="s">
        <v>1847</v>
      </c>
      <c r="F160" t="s">
        <v>1883</v>
      </c>
      <c r="G160" t="s">
        <v>1070</v>
      </c>
      <c r="I160">
        <v>1649</v>
      </c>
      <c r="J160" t="s">
        <v>37</v>
      </c>
      <c r="K160" s="1">
        <v>45317</v>
      </c>
      <c r="L160" s="1"/>
      <c r="M160" s="1">
        <v>44881</v>
      </c>
      <c r="N160" s="1">
        <v>45019</v>
      </c>
      <c r="O160" s="1" t="s">
        <v>244</v>
      </c>
      <c r="P160" t="s">
        <v>1071</v>
      </c>
      <c r="Q160" t="s">
        <v>204</v>
      </c>
      <c r="R160" t="s">
        <v>33</v>
      </c>
      <c r="S160" t="s">
        <v>45</v>
      </c>
      <c r="U160" t="s">
        <v>38</v>
      </c>
      <c r="V160" s="1">
        <v>45412</v>
      </c>
      <c r="W160" s="1" t="s">
        <v>64</v>
      </c>
      <c r="X160" t="s">
        <v>32</v>
      </c>
      <c r="Y160" s="1">
        <v>45412</v>
      </c>
      <c r="Z160" s="1" t="s">
        <v>688</v>
      </c>
      <c r="AA160" t="s">
        <v>807</v>
      </c>
      <c r="AB160" t="s">
        <v>1514</v>
      </c>
      <c r="AC160" t="str">
        <f>INDEX('DB Description'!$A$1:$B$23,MATCH(Tabela2[[#This Row],[Filial DB code]],'DB Description'!A:A,),2)</f>
        <v>Mason</v>
      </c>
      <c r="AD160" s="9">
        <f>Tabela2[[#This Row],[Issue2]]-Tabela2[[#This Row],[Failure2]]</f>
        <v>95</v>
      </c>
      <c r="AE160" t="str">
        <f t="shared" si="28"/>
        <v>FY2024</v>
      </c>
      <c r="AF160">
        <f>YEAR(Tabela2[[#This Row],[Issue2]])</f>
        <v>2024</v>
      </c>
    </row>
    <row r="161" spans="1:32" x14ac:dyDescent="0.35">
      <c r="A161" t="s">
        <v>1059</v>
      </c>
      <c r="B161" t="s">
        <v>1060</v>
      </c>
      <c r="C161" t="s">
        <v>348</v>
      </c>
      <c r="D161" t="s">
        <v>1061</v>
      </c>
      <c r="E161" t="s">
        <v>1864</v>
      </c>
      <c r="F161" t="s">
        <v>1863</v>
      </c>
      <c r="G161" t="s">
        <v>1062</v>
      </c>
      <c r="I161">
        <v>1649</v>
      </c>
      <c r="J161" t="s">
        <v>37</v>
      </c>
      <c r="K161" s="1">
        <v>45317</v>
      </c>
      <c r="L161" s="1"/>
      <c r="M161" s="1">
        <v>44881</v>
      </c>
      <c r="N161" s="1">
        <v>45019</v>
      </c>
      <c r="O161" s="1" t="s">
        <v>293</v>
      </c>
      <c r="P161" t="s">
        <v>1063</v>
      </c>
      <c r="Q161" t="s">
        <v>155</v>
      </c>
      <c r="R161" t="s">
        <v>50</v>
      </c>
      <c r="S161" t="s">
        <v>45</v>
      </c>
      <c r="U161" t="s">
        <v>38</v>
      </c>
      <c r="V161" s="1">
        <v>45412</v>
      </c>
      <c r="W161" s="1" t="s">
        <v>64</v>
      </c>
      <c r="X161" t="s">
        <v>32</v>
      </c>
      <c r="Y161" s="1">
        <v>45412</v>
      </c>
      <c r="Z161" s="1" t="s">
        <v>688</v>
      </c>
      <c r="AA161" t="s">
        <v>807</v>
      </c>
      <c r="AB161" t="s">
        <v>1514</v>
      </c>
      <c r="AC161" t="str">
        <f>INDEX('DB Description'!$A$1:$B$23,MATCH(Tabela2[[#This Row],[Filial DB code]],'DB Description'!A:A,),2)</f>
        <v>Mason</v>
      </c>
      <c r="AD161" s="9">
        <f>Tabela2[[#This Row],[Issue2]]-Tabela2[[#This Row],[Failure2]]</f>
        <v>95</v>
      </c>
      <c r="AE161" t="str">
        <f t="shared" si="28"/>
        <v>FY2024</v>
      </c>
      <c r="AF161">
        <f>YEAR(Tabela2[[#This Row],[Issue2]])</f>
        <v>2024</v>
      </c>
    </row>
    <row r="162" spans="1:32" x14ac:dyDescent="0.35">
      <c r="A162" t="s">
        <v>1064</v>
      </c>
      <c r="B162" t="s">
        <v>1065</v>
      </c>
      <c r="C162" t="s">
        <v>348</v>
      </c>
      <c r="D162" t="s">
        <v>68</v>
      </c>
      <c r="E162" t="s">
        <v>1920</v>
      </c>
      <c r="F162" t="s">
        <v>1923</v>
      </c>
      <c r="I162">
        <v>1030</v>
      </c>
      <c r="J162" t="s">
        <v>37</v>
      </c>
      <c r="K162" s="1">
        <v>45412</v>
      </c>
      <c r="L162" s="1"/>
      <c r="M162" s="1">
        <v>45121</v>
      </c>
      <c r="N162" s="1">
        <v>45174</v>
      </c>
      <c r="O162" s="1" t="s">
        <v>1066</v>
      </c>
      <c r="P162" t="s">
        <v>1067</v>
      </c>
      <c r="Q162" t="s">
        <v>74</v>
      </c>
      <c r="R162" t="s">
        <v>193</v>
      </c>
      <c r="S162" t="s">
        <v>45</v>
      </c>
      <c r="U162" t="s">
        <v>38</v>
      </c>
      <c r="V162" s="1">
        <v>45412</v>
      </c>
      <c r="W162" s="1" t="s">
        <v>53</v>
      </c>
      <c r="X162" t="s">
        <v>32</v>
      </c>
      <c r="Y162" s="1">
        <v>45412</v>
      </c>
      <c r="Z162" s="1" t="s">
        <v>871</v>
      </c>
      <c r="AA162" t="s">
        <v>528</v>
      </c>
      <c r="AB162" t="s">
        <v>1520</v>
      </c>
      <c r="AC162" t="str">
        <f>INDEX('DB Description'!$A$1:$B$23,MATCH(Tabela2[[#This Row],[Filial DB code]],'DB Description'!A:A,),2)</f>
        <v>Bauko</v>
      </c>
      <c r="AD162" s="9">
        <f>Tabela2[[#This Row],[Issue2]]-Tabela2[[#This Row],[Failure2]]</f>
        <v>0</v>
      </c>
      <c r="AE162" t="str">
        <f t="shared" si="28"/>
        <v>FY2024</v>
      </c>
      <c r="AF162">
        <f>YEAR(Tabela2[[#This Row],[Issue2]])</f>
        <v>2024</v>
      </c>
    </row>
    <row r="163" spans="1:32" x14ac:dyDescent="0.35">
      <c r="A163" t="s">
        <v>1084</v>
      </c>
      <c r="B163" t="s">
        <v>1085</v>
      </c>
      <c r="C163" t="s">
        <v>348</v>
      </c>
      <c r="D163" t="s">
        <v>1081</v>
      </c>
      <c r="E163" t="s">
        <v>1901</v>
      </c>
      <c r="F163" t="s">
        <v>1922</v>
      </c>
      <c r="H163" t="s">
        <v>1076</v>
      </c>
      <c r="I163">
        <v>255</v>
      </c>
      <c r="J163" t="s">
        <v>37</v>
      </c>
      <c r="K163" s="1">
        <v>45411</v>
      </c>
      <c r="L163" s="1"/>
      <c r="M163" s="1">
        <v>45125</v>
      </c>
      <c r="N163" s="1">
        <v>45194</v>
      </c>
      <c r="O163" s="1" t="s">
        <v>1077</v>
      </c>
      <c r="P163" t="s">
        <v>289</v>
      </c>
      <c r="Q163" t="s">
        <v>99</v>
      </c>
      <c r="R163" t="s">
        <v>162</v>
      </c>
      <c r="S163" t="s">
        <v>45</v>
      </c>
      <c r="U163" t="s">
        <v>38</v>
      </c>
      <c r="V163" s="1">
        <v>45418</v>
      </c>
      <c r="W163" s="1" t="s">
        <v>53</v>
      </c>
      <c r="X163" t="s">
        <v>32</v>
      </c>
      <c r="Y163" s="1">
        <v>45418</v>
      </c>
      <c r="AA163" t="s">
        <v>705</v>
      </c>
      <c r="AB163" t="s">
        <v>243</v>
      </c>
      <c r="AC163" t="str">
        <f>INDEX('DB Description'!$A$1:$B$23,MATCH(Tabela2[[#This Row],[Filial DB code]],'DB Description'!A:A,),2)</f>
        <v>Bauko</v>
      </c>
      <c r="AD163" s="9">
        <f>Tabela2[[#This Row],[Issue2]]-Tabela2[[#This Row],[Failure2]]</f>
        <v>7</v>
      </c>
      <c r="AE163" t="str">
        <f t="shared" si="28"/>
        <v>FY2024</v>
      </c>
      <c r="AF163">
        <f>YEAR(Tabela2[[#This Row],[Issue2]])</f>
        <v>2024</v>
      </c>
    </row>
    <row r="164" spans="1:32" x14ac:dyDescent="0.35">
      <c r="A164" t="s">
        <v>1079</v>
      </c>
      <c r="B164" t="s">
        <v>1080</v>
      </c>
      <c r="C164" t="s">
        <v>348</v>
      </c>
      <c r="D164" t="s">
        <v>1081</v>
      </c>
      <c r="E164" t="s">
        <v>1872</v>
      </c>
      <c r="F164" t="s">
        <v>1871</v>
      </c>
      <c r="I164">
        <v>255</v>
      </c>
      <c r="J164" t="s">
        <v>37</v>
      </c>
      <c r="K164" s="1">
        <v>45411</v>
      </c>
      <c r="L164" s="1"/>
      <c r="M164" s="1">
        <v>45125</v>
      </c>
      <c r="N164" s="1">
        <v>45194</v>
      </c>
      <c r="O164" s="1" t="s">
        <v>1082</v>
      </c>
      <c r="P164" t="s">
        <v>1083</v>
      </c>
      <c r="Q164" t="s">
        <v>66</v>
      </c>
      <c r="R164" t="s">
        <v>249</v>
      </c>
      <c r="S164" t="s">
        <v>45</v>
      </c>
      <c r="U164" t="s">
        <v>38</v>
      </c>
      <c r="V164" s="1">
        <v>45418</v>
      </c>
      <c r="W164" s="1" t="s">
        <v>53</v>
      </c>
      <c r="X164" t="s">
        <v>32</v>
      </c>
      <c r="Y164" s="1">
        <v>45418</v>
      </c>
      <c r="AA164" t="s">
        <v>705</v>
      </c>
      <c r="AB164" t="s">
        <v>243</v>
      </c>
      <c r="AC164" t="str">
        <f>INDEX('DB Description'!$A$1:$B$23,MATCH(Tabela2[[#This Row],[Filial DB code]],'DB Description'!A:A,),2)</f>
        <v>Bauko</v>
      </c>
      <c r="AD164" s="9">
        <f>Tabela2[[#This Row],[Issue2]]-Tabela2[[#This Row],[Failure2]]</f>
        <v>7</v>
      </c>
      <c r="AE164" t="str">
        <f t="shared" si="28"/>
        <v>FY2024</v>
      </c>
      <c r="AF164">
        <f>YEAR(Tabela2[[#This Row],[Issue2]])</f>
        <v>2024</v>
      </c>
    </row>
    <row r="165" spans="1:32" x14ac:dyDescent="0.35">
      <c r="A165" t="s">
        <v>1074</v>
      </c>
      <c r="B165" t="s">
        <v>1075</v>
      </c>
      <c r="C165" t="s">
        <v>348</v>
      </c>
      <c r="D165" t="s">
        <v>101</v>
      </c>
      <c r="E165" t="s">
        <v>1901</v>
      </c>
      <c r="F165" t="s">
        <v>1922</v>
      </c>
      <c r="H165" t="s">
        <v>1076</v>
      </c>
      <c r="I165">
        <v>4</v>
      </c>
      <c r="J165" t="s">
        <v>37</v>
      </c>
      <c r="K165" s="1">
        <v>45393</v>
      </c>
      <c r="L165" s="1"/>
      <c r="M165" s="1">
        <v>45348</v>
      </c>
      <c r="N165" s="1">
        <v>1</v>
      </c>
      <c r="O165" s="1" t="s">
        <v>1077</v>
      </c>
      <c r="P165" t="s">
        <v>1078</v>
      </c>
      <c r="Q165" t="s">
        <v>99</v>
      </c>
      <c r="R165" t="s">
        <v>162</v>
      </c>
      <c r="S165" t="s">
        <v>45</v>
      </c>
      <c r="U165" t="s">
        <v>38</v>
      </c>
      <c r="V165" s="1">
        <v>45418</v>
      </c>
      <c r="W165" s="1" t="s">
        <v>53</v>
      </c>
      <c r="X165" t="s">
        <v>32</v>
      </c>
      <c r="Y165" s="1">
        <v>45418</v>
      </c>
      <c r="AA165" t="s">
        <v>705</v>
      </c>
      <c r="AB165" t="s">
        <v>243</v>
      </c>
      <c r="AC165" t="str">
        <f>INDEX('DB Description'!$A$1:$B$23,MATCH(Tabela2[[#This Row],[Filial DB code]],'DB Description'!A:A,),2)</f>
        <v>Bauko</v>
      </c>
      <c r="AD165" s="9">
        <f>Tabela2[[#This Row],[Issue2]]-Tabela2[[#This Row],[Failure2]]</f>
        <v>25</v>
      </c>
      <c r="AE165" t="str">
        <f t="shared" si="28"/>
        <v>FY2024</v>
      </c>
      <c r="AF165">
        <f>YEAR(Tabela2[[#This Row],[Issue2]])</f>
        <v>2024</v>
      </c>
    </row>
    <row r="166" spans="1:32" x14ac:dyDescent="0.35">
      <c r="A166" t="s">
        <v>1086</v>
      </c>
      <c r="B166" t="s">
        <v>1087</v>
      </c>
      <c r="C166" t="s">
        <v>348</v>
      </c>
      <c r="D166" t="s">
        <v>1053</v>
      </c>
      <c r="E166" t="s">
        <v>1873</v>
      </c>
      <c r="F166" t="s">
        <v>1924</v>
      </c>
      <c r="G166" t="s">
        <v>1088</v>
      </c>
      <c r="I166">
        <v>357</v>
      </c>
      <c r="J166" t="s">
        <v>37</v>
      </c>
      <c r="K166" s="1">
        <v>45432</v>
      </c>
      <c r="L166" s="1"/>
      <c r="M166" s="1">
        <v>45090</v>
      </c>
      <c r="N166" s="1">
        <v>1</v>
      </c>
      <c r="O166" s="1" t="s">
        <v>555</v>
      </c>
      <c r="P166" t="s">
        <v>1089</v>
      </c>
      <c r="Q166" t="s">
        <v>42</v>
      </c>
      <c r="R166" t="s">
        <v>193</v>
      </c>
      <c r="S166" t="s">
        <v>45</v>
      </c>
      <c r="U166" t="s">
        <v>38</v>
      </c>
      <c r="V166" s="1">
        <v>45433</v>
      </c>
      <c r="W166" s="1" t="s">
        <v>31</v>
      </c>
      <c r="X166" t="s">
        <v>32</v>
      </c>
      <c r="Y166" s="1">
        <v>45433</v>
      </c>
      <c r="AA166" t="s">
        <v>359</v>
      </c>
      <c r="AB166" t="s">
        <v>1523</v>
      </c>
      <c r="AC166" t="str">
        <f>INDEX('DB Description'!$A$1:$B$23,MATCH(Tabela2[[#This Row],[Filial DB code]],'DB Description'!A:A,),2)</f>
        <v>FW</v>
      </c>
      <c r="AD166" s="9">
        <f>Tabela2[[#This Row],[Issue2]]-Tabela2[[#This Row],[Failure2]]</f>
        <v>1</v>
      </c>
      <c r="AE166" t="str">
        <f t="shared" ref="AE166:AE170" si="29">"FY"&amp;IF(MONTH(Y166)&gt;=4,YEAR(Y166),YEAR(Y166)-1)</f>
        <v>FY2024</v>
      </c>
      <c r="AF166">
        <f>YEAR(Tabela2[[#This Row],[Issue2]])</f>
        <v>2024</v>
      </c>
    </row>
    <row r="167" spans="1:32" x14ac:dyDescent="0.35">
      <c r="A167" t="s">
        <v>1093</v>
      </c>
      <c r="B167" t="s">
        <v>1094</v>
      </c>
      <c r="C167" t="s">
        <v>348</v>
      </c>
      <c r="D167" t="s">
        <v>881</v>
      </c>
      <c r="E167" t="s">
        <v>1846</v>
      </c>
      <c r="F167" t="s">
        <v>1854</v>
      </c>
      <c r="I167">
        <v>1016</v>
      </c>
      <c r="J167" t="s">
        <v>37</v>
      </c>
      <c r="K167" s="1">
        <v>45278</v>
      </c>
      <c r="L167" s="1"/>
      <c r="M167" s="1">
        <v>45139</v>
      </c>
      <c r="N167" s="1">
        <v>45180</v>
      </c>
      <c r="O167" s="1" t="s">
        <v>194</v>
      </c>
      <c r="P167" t="s">
        <v>77</v>
      </c>
      <c r="Q167" t="s">
        <v>204</v>
      </c>
      <c r="R167" t="s">
        <v>205</v>
      </c>
      <c r="S167" t="s">
        <v>45</v>
      </c>
      <c r="U167" t="s">
        <v>38</v>
      </c>
      <c r="V167" s="1">
        <v>45278</v>
      </c>
      <c r="W167" s="1" t="s">
        <v>53</v>
      </c>
      <c r="X167" t="s">
        <v>32</v>
      </c>
      <c r="Y167" s="1">
        <v>45433</v>
      </c>
      <c r="Z167" s="1" t="s">
        <v>871</v>
      </c>
      <c r="AA167" t="s">
        <v>528</v>
      </c>
      <c r="AB167" t="s">
        <v>1520</v>
      </c>
      <c r="AC167" t="str">
        <f>INDEX('DB Description'!$A$1:$B$23,MATCH(Tabela2[[#This Row],[Filial DB code]],'DB Description'!A:A,),2)</f>
        <v>Bauko</v>
      </c>
      <c r="AD167" s="9">
        <f>Tabela2[[#This Row],[Issue2]]-Tabela2[[#This Row],[Failure2]]</f>
        <v>155</v>
      </c>
      <c r="AE167" t="str">
        <f t="shared" si="29"/>
        <v>FY2024</v>
      </c>
      <c r="AF167">
        <f>YEAR(Tabela2[[#This Row],[Issue2]])</f>
        <v>2024</v>
      </c>
    </row>
    <row r="168" spans="1:32" x14ac:dyDescent="0.35">
      <c r="A168" t="s">
        <v>1090</v>
      </c>
      <c r="B168" t="s">
        <v>1091</v>
      </c>
      <c r="C168" t="s">
        <v>348</v>
      </c>
      <c r="D168" t="s">
        <v>108</v>
      </c>
      <c r="E168" t="s">
        <v>1847</v>
      </c>
      <c r="F168" t="s">
        <v>1883</v>
      </c>
      <c r="G168" t="s">
        <v>1092</v>
      </c>
      <c r="I168">
        <v>664</v>
      </c>
      <c r="J168" t="s">
        <v>37</v>
      </c>
      <c r="K168" s="1">
        <v>45433</v>
      </c>
      <c r="L168" s="1"/>
      <c r="M168" s="1">
        <v>45195</v>
      </c>
      <c r="N168" s="1">
        <v>1</v>
      </c>
      <c r="O168" s="1" t="s">
        <v>244</v>
      </c>
      <c r="P168" t="s">
        <v>245</v>
      </c>
      <c r="Q168" t="s">
        <v>204</v>
      </c>
      <c r="R168" t="s">
        <v>50</v>
      </c>
      <c r="S168" t="s">
        <v>45</v>
      </c>
      <c r="U168" t="s">
        <v>38</v>
      </c>
      <c r="V168" s="1">
        <v>45433</v>
      </c>
      <c r="W168" s="1" t="s">
        <v>53</v>
      </c>
      <c r="X168" t="s">
        <v>32</v>
      </c>
      <c r="Y168" s="1">
        <v>45433</v>
      </c>
      <c r="AA168" t="s">
        <v>528</v>
      </c>
      <c r="AB168" t="s">
        <v>1520</v>
      </c>
      <c r="AC168" t="str">
        <f>INDEX('DB Description'!$A$1:$B$23,MATCH(Tabela2[[#This Row],[Filial DB code]],'DB Description'!A:A,),2)</f>
        <v>Bauko</v>
      </c>
      <c r="AD168" s="9">
        <f>Tabela2[[#This Row],[Issue2]]-Tabela2[[#This Row],[Failure2]]</f>
        <v>0</v>
      </c>
      <c r="AE168" t="str">
        <f t="shared" si="29"/>
        <v>FY2024</v>
      </c>
      <c r="AF168">
        <f>YEAR(Tabela2[[#This Row],[Issue2]])</f>
        <v>2024</v>
      </c>
    </row>
    <row r="169" spans="1:32" x14ac:dyDescent="0.35">
      <c r="A169" t="s">
        <v>1096</v>
      </c>
      <c r="B169" t="s">
        <v>1097</v>
      </c>
      <c r="C169" t="s">
        <v>348</v>
      </c>
      <c r="D169" t="s">
        <v>363</v>
      </c>
      <c r="E169" t="s">
        <v>1856</v>
      </c>
      <c r="F169" t="s">
        <v>1925</v>
      </c>
      <c r="I169">
        <v>7</v>
      </c>
      <c r="J169" t="s">
        <v>332</v>
      </c>
      <c r="K169" s="1">
        <v>45422</v>
      </c>
      <c r="L169" s="1">
        <v>45422</v>
      </c>
      <c r="M169" s="1">
        <v>45379</v>
      </c>
      <c r="N169" s="1">
        <v>1</v>
      </c>
      <c r="O169" s="1" t="s">
        <v>141</v>
      </c>
      <c r="P169" t="s">
        <v>182</v>
      </c>
      <c r="Q169" t="s">
        <v>122</v>
      </c>
      <c r="R169" t="s">
        <v>50</v>
      </c>
      <c r="S169" t="s">
        <v>45</v>
      </c>
      <c r="T169" t="s">
        <v>329</v>
      </c>
      <c r="U169" t="s">
        <v>30</v>
      </c>
      <c r="V169" s="1">
        <v>45447</v>
      </c>
      <c r="W169" s="1" t="s">
        <v>53</v>
      </c>
      <c r="X169" t="s">
        <v>32</v>
      </c>
      <c r="Y169" s="1">
        <v>45447</v>
      </c>
      <c r="AA169" t="s">
        <v>705</v>
      </c>
      <c r="AB169" t="s">
        <v>243</v>
      </c>
      <c r="AC169" t="str">
        <f>INDEX('DB Description'!$A$1:$B$23,MATCH(Tabela2[[#This Row],[Filial DB code]],'DB Description'!A:A,),2)</f>
        <v>Bauko</v>
      </c>
      <c r="AD169" s="9">
        <f>Tabela2[[#This Row],[Issue2]]-Tabela2[[#This Row],[Failure2]]</f>
        <v>25</v>
      </c>
      <c r="AE169" t="str">
        <f t="shared" si="29"/>
        <v>FY2024</v>
      </c>
      <c r="AF169">
        <f>YEAR(Tabela2[[#This Row],[Issue2]])</f>
        <v>2024</v>
      </c>
    </row>
    <row r="170" spans="1:32" x14ac:dyDescent="0.35">
      <c r="A170" t="s">
        <v>1098</v>
      </c>
      <c r="B170" t="s">
        <v>1099</v>
      </c>
      <c r="C170" t="s">
        <v>348</v>
      </c>
      <c r="D170" t="s">
        <v>136</v>
      </c>
      <c r="E170" t="s">
        <v>1912</v>
      </c>
      <c r="F170" t="s">
        <v>1913</v>
      </c>
      <c r="G170" t="s">
        <v>1100</v>
      </c>
      <c r="I170">
        <v>771</v>
      </c>
      <c r="J170" t="s">
        <v>37</v>
      </c>
      <c r="K170" s="1">
        <v>45412</v>
      </c>
      <c r="L170" s="1">
        <v>45427</v>
      </c>
      <c r="M170" s="1">
        <v>45182</v>
      </c>
      <c r="N170" s="1">
        <v>45209</v>
      </c>
      <c r="O170" s="1" t="s">
        <v>823</v>
      </c>
      <c r="P170" t="s">
        <v>144</v>
      </c>
      <c r="Q170" t="s">
        <v>204</v>
      </c>
      <c r="R170" t="s">
        <v>35</v>
      </c>
      <c r="S170" t="s">
        <v>45</v>
      </c>
      <c r="U170" t="s">
        <v>38</v>
      </c>
      <c r="V170" s="1">
        <v>45448</v>
      </c>
      <c r="W170" s="1" t="s">
        <v>61</v>
      </c>
      <c r="X170" t="s">
        <v>32</v>
      </c>
      <c r="Y170" s="1">
        <v>45448</v>
      </c>
      <c r="AA170" t="s">
        <v>1095</v>
      </c>
      <c r="AB170" t="s">
        <v>1631</v>
      </c>
      <c r="AC170" t="str">
        <f>INDEX('DB Description'!$A$1:$B$23,MATCH(Tabela2[[#This Row],[Filial DB code]],'DB Description'!A:A,),2)</f>
        <v>VAMOS (2131F)</v>
      </c>
      <c r="AD170" s="9">
        <f>Tabela2[[#This Row],[Issue2]]-Tabela2[[#This Row],[Failure2]]</f>
        <v>36</v>
      </c>
      <c r="AE170" t="str">
        <f t="shared" si="29"/>
        <v>FY2024</v>
      </c>
      <c r="AF170">
        <f>YEAR(Tabela2[[#This Row],[Issue2]])</f>
        <v>2024</v>
      </c>
    </row>
    <row r="171" spans="1:32" x14ac:dyDescent="0.35">
      <c r="A171" t="s">
        <v>1101</v>
      </c>
      <c r="B171" t="s">
        <v>1102</v>
      </c>
      <c r="C171" t="s">
        <v>348</v>
      </c>
      <c r="D171" t="s">
        <v>252</v>
      </c>
      <c r="E171" t="s">
        <v>1846</v>
      </c>
      <c r="F171" t="s">
        <v>1919</v>
      </c>
      <c r="I171">
        <v>586</v>
      </c>
      <c r="J171" t="s">
        <v>37</v>
      </c>
      <c r="K171" s="1">
        <v>45307</v>
      </c>
      <c r="L171" s="1"/>
      <c r="M171" s="1">
        <v>45107</v>
      </c>
      <c r="N171" s="1">
        <v>45174</v>
      </c>
      <c r="O171" s="1" t="s">
        <v>1103</v>
      </c>
      <c r="P171" t="s">
        <v>77</v>
      </c>
      <c r="Q171" t="s">
        <v>204</v>
      </c>
      <c r="R171" t="s">
        <v>162</v>
      </c>
      <c r="S171" t="s">
        <v>45</v>
      </c>
      <c r="U171" t="s">
        <v>38</v>
      </c>
      <c r="V171" s="1">
        <v>45278</v>
      </c>
      <c r="W171" s="1" t="s">
        <v>53</v>
      </c>
      <c r="X171" t="s">
        <v>32</v>
      </c>
      <c r="Y171" s="1">
        <v>45448</v>
      </c>
      <c r="Z171" s="1" t="s">
        <v>1104</v>
      </c>
      <c r="AA171" t="s">
        <v>528</v>
      </c>
      <c r="AB171" t="s">
        <v>1520</v>
      </c>
      <c r="AC171" t="str">
        <f>INDEX('DB Description'!$A$1:$B$23,MATCH(Tabela2[[#This Row],[Filial DB code]],'DB Description'!A:A,),2)</f>
        <v>Bauko</v>
      </c>
      <c r="AD171" s="9">
        <f>Tabela2[[#This Row],[Issue2]]-Tabela2[[#This Row],[Failure2]]</f>
        <v>141</v>
      </c>
      <c r="AE171" t="str">
        <f t="shared" ref="AE171:AE177" si="30">"FY"&amp;IF(MONTH(Y171)&gt;=4,YEAR(Y171),YEAR(Y171)-1)</f>
        <v>FY2024</v>
      </c>
      <c r="AF171">
        <f>YEAR(Tabela2[[#This Row],[Issue2]])</f>
        <v>2024</v>
      </c>
    </row>
    <row r="172" spans="1:32" x14ac:dyDescent="0.35">
      <c r="A172" t="s">
        <v>1109</v>
      </c>
      <c r="B172" t="s">
        <v>1106</v>
      </c>
      <c r="C172" t="s">
        <v>348</v>
      </c>
      <c r="D172" t="s">
        <v>68</v>
      </c>
      <c r="E172" t="s">
        <v>1846</v>
      </c>
      <c r="F172" t="s">
        <v>1851</v>
      </c>
      <c r="G172" t="s">
        <v>1107</v>
      </c>
      <c r="I172">
        <v>1370</v>
      </c>
      <c r="J172" t="s">
        <v>37</v>
      </c>
      <c r="K172" s="1">
        <v>45450</v>
      </c>
      <c r="L172" s="1"/>
      <c r="M172" s="1">
        <v>45121</v>
      </c>
      <c r="N172" s="1">
        <v>45174</v>
      </c>
      <c r="O172" s="1" t="s">
        <v>1049</v>
      </c>
      <c r="P172" t="s">
        <v>116</v>
      </c>
      <c r="Q172" t="s">
        <v>116</v>
      </c>
      <c r="R172" t="s">
        <v>34</v>
      </c>
      <c r="S172" t="s">
        <v>45</v>
      </c>
      <c r="U172" t="s">
        <v>38</v>
      </c>
      <c r="V172" s="1">
        <v>45450</v>
      </c>
      <c r="W172" s="1" t="s">
        <v>53</v>
      </c>
      <c r="X172" t="s">
        <v>32</v>
      </c>
      <c r="Y172" s="1">
        <v>45450</v>
      </c>
      <c r="AA172" t="s">
        <v>528</v>
      </c>
      <c r="AB172" t="s">
        <v>1520</v>
      </c>
      <c r="AC172" t="str">
        <f>INDEX('DB Description'!$A$1:$B$23,MATCH(Tabela2[[#This Row],[Filial DB code]],'DB Description'!A:A,),2)</f>
        <v>Bauko</v>
      </c>
      <c r="AD172" s="9">
        <f>Tabela2[[#This Row],[Issue2]]-Tabela2[[#This Row],[Failure2]]</f>
        <v>0</v>
      </c>
      <c r="AE172" t="str">
        <f t="shared" si="30"/>
        <v>FY2024</v>
      </c>
      <c r="AF172">
        <f>YEAR(Tabela2[[#This Row],[Issue2]])</f>
        <v>2024</v>
      </c>
    </row>
    <row r="173" spans="1:32" x14ac:dyDescent="0.35">
      <c r="A173" t="s">
        <v>1105</v>
      </c>
      <c r="B173" t="s">
        <v>1106</v>
      </c>
      <c r="C173" t="s">
        <v>348</v>
      </c>
      <c r="D173" t="s">
        <v>762</v>
      </c>
      <c r="E173" t="s">
        <v>1846</v>
      </c>
      <c r="F173" t="s">
        <v>1851</v>
      </c>
      <c r="G173" t="s">
        <v>1107</v>
      </c>
      <c r="I173">
        <v>3876</v>
      </c>
      <c r="J173" t="s">
        <v>37</v>
      </c>
      <c r="K173" s="1">
        <v>45450</v>
      </c>
      <c r="L173" s="1"/>
      <c r="M173" s="1">
        <v>44760</v>
      </c>
      <c r="N173" s="1">
        <v>44861</v>
      </c>
      <c r="O173" s="1" t="s">
        <v>1049</v>
      </c>
      <c r="P173" t="s">
        <v>116</v>
      </c>
      <c r="Q173" t="s">
        <v>116</v>
      </c>
      <c r="R173" t="s">
        <v>34</v>
      </c>
      <c r="S173" t="s">
        <v>45</v>
      </c>
      <c r="U173" t="s">
        <v>38</v>
      </c>
      <c r="V173" s="1">
        <v>45450</v>
      </c>
      <c r="W173" s="1" t="s">
        <v>53</v>
      </c>
      <c r="X173" t="s">
        <v>32</v>
      </c>
      <c r="Y173" s="1">
        <v>45450</v>
      </c>
      <c r="Z173" s="1" t="s">
        <v>1108</v>
      </c>
      <c r="AA173" t="s">
        <v>528</v>
      </c>
      <c r="AB173" t="s">
        <v>1520</v>
      </c>
      <c r="AC173" t="str">
        <f>INDEX('DB Description'!$A$1:$B$23,MATCH(Tabela2[[#This Row],[Filial DB code]],'DB Description'!A:A,),2)</f>
        <v>Bauko</v>
      </c>
      <c r="AD173" s="9">
        <f>Tabela2[[#This Row],[Issue2]]-Tabela2[[#This Row],[Failure2]]</f>
        <v>0</v>
      </c>
      <c r="AE173" t="str">
        <f t="shared" si="30"/>
        <v>FY2024</v>
      </c>
      <c r="AF173">
        <f>YEAR(Tabela2[[#This Row],[Issue2]])</f>
        <v>2024</v>
      </c>
    </row>
    <row r="174" spans="1:32" x14ac:dyDescent="0.35">
      <c r="A174" t="s">
        <v>1111</v>
      </c>
      <c r="B174" t="s">
        <v>1112</v>
      </c>
      <c r="C174" t="s">
        <v>348</v>
      </c>
      <c r="D174" t="s">
        <v>1113</v>
      </c>
      <c r="E174" t="s">
        <v>1846</v>
      </c>
      <c r="F174" t="s">
        <v>1854</v>
      </c>
      <c r="G174" t="s">
        <v>225</v>
      </c>
      <c r="I174">
        <v>1207</v>
      </c>
      <c r="J174" t="s">
        <v>37</v>
      </c>
      <c r="K174" s="1">
        <v>45456</v>
      </c>
      <c r="L174" s="1"/>
      <c r="M174" s="1">
        <v>45000</v>
      </c>
      <c r="N174" s="1">
        <v>1</v>
      </c>
      <c r="O174" s="1" t="s">
        <v>1049</v>
      </c>
      <c r="P174" t="s">
        <v>116</v>
      </c>
      <c r="Q174" t="s">
        <v>116</v>
      </c>
      <c r="R174" t="s">
        <v>43</v>
      </c>
      <c r="S174" t="s">
        <v>45</v>
      </c>
      <c r="U174" t="s">
        <v>38</v>
      </c>
      <c r="V174" s="1">
        <v>45457</v>
      </c>
      <c r="W174" s="1" t="s">
        <v>53</v>
      </c>
      <c r="X174" t="s">
        <v>32</v>
      </c>
      <c r="Y174" s="1">
        <v>45457</v>
      </c>
      <c r="Z174" s="1" t="s">
        <v>1114</v>
      </c>
      <c r="AA174" t="s">
        <v>528</v>
      </c>
      <c r="AB174" t="s">
        <v>1520</v>
      </c>
      <c r="AC174" t="str">
        <f>INDEX('DB Description'!$A$1:$B$23,MATCH(Tabela2[[#This Row],[Filial DB code]],'DB Description'!A:A,),2)</f>
        <v>Bauko</v>
      </c>
      <c r="AD174" s="9">
        <f>Tabela2[[#This Row],[Issue2]]-Tabela2[[#This Row],[Failure2]]</f>
        <v>1</v>
      </c>
      <c r="AE174" t="str">
        <f t="shared" si="30"/>
        <v>FY2024</v>
      </c>
      <c r="AF174">
        <f>YEAR(Tabela2[[#This Row],[Issue2]])</f>
        <v>2024</v>
      </c>
    </row>
    <row r="175" spans="1:32" x14ac:dyDescent="0.35">
      <c r="A175" t="s">
        <v>1115</v>
      </c>
      <c r="B175" t="s">
        <v>1116</v>
      </c>
      <c r="C175" t="s">
        <v>348</v>
      </c>
      <c r="D175" t="s">
        <v>1117</v>
      </c>
      <c r="E175" t="s">
        <v>1856</v>
      </c>
      <c r="F175" t="s">
        <v>1925</v>
      </c>
      <c r="G175" t="s">
        <v>1118</v>
      </c>
      <c r="I175">
        <v>1069</v>
      </c>
      <c r="J175" t="s">
        <v>37</v>
      </c>
      <c r="K175" s="1">
        <v>45300</v>
      </c>
      <c r="L175" s="1">
        <v>45439</v>
      </c>
      <c r="M175" s="1">
        <v>44966</v>
      </c>
      <c r="N175" s="1">
        <v>45181</v>
      </c>
      <c r="O175" s="1" t="s">
        <v>141</v>
      </c>
      <c r="P175" t="s">
        <v>1073</v>
      </c>
      <c r="Q175" t="s">
        <v>122</v>
      </c>
      <c r="R175" t="s">
        <v>50</v>
      </c>
      <c r="S175" t="s">
        <v>45</v>
      </c>
      <c r="U175" t="s">
        <v>38</v>
      </c>
      <c r="V175" s="1">
        <v>45467</v>
      </c>
      <c r="W175" s="1" t="s">
        <v>64</v>
      </c>
      <c r="X175" t="s">
        <v>32</v>
      </c>
      <c r="Y175" s="1">
        <v>45467</v>
      </c>
      <c r="Z175" s="1" t="s">
        <v>688</v>
      </c>
      <c r="AA175" t="s">
        <v>807</v>
      </c>
      <c r="AB175" t="s">
        <v>1514</v>
      </c>
      <c r="AC175" t="str">
        <f>INDEX('DB Description'!$A$1:$B$23,MATCH(Tabela2[[#This Row],[Filial DB code]],'DB Description'!A:A,),2)</f>
        <v>Mason</v>
      </c>
      <c r="AD175" s="9">
        <f>Tabela2[[#This Row],[Issue2]]-Tabela2[[#This Row],[Failure2]]</f>
        <v>167</v>
      </c>
      <c r="AE175" t="str">
        <f t="shared" si="30"/>
        <v>FY2024</v>
      </c>
      <c r="AF175">
        <f>YEAR(Tabela2[[#This Row],[Issue2]])</f>
        <v>2024</v>
      </c>
    </row>
    <row r="176" spans="1:32" x14ac:dyDescent="0.35">
      <c r="A176" t="s">
        <v>1121</v>
      </c>
      <c r="B176" t="s">
        <v>1122</v>
      </c>
      <c r="C176" t="s">
        <v>348</v>
      </c>
      <c r="D176" t="s">
        <v>558</v>
      </c>
      <c r="E176" t="s">
        <v>1884</v>
      </c>
      <c r="F176" t="s">
        <v>1909</v>
      </c>
      <c r="G176" t="s">
        <v>1119</v>
      </c>
      <c r="I176">
        <v>3.8</v>
      </c>
      <c r="J176" t="s">
        <v>332</v>
      </c>
      <c r="K176" s="1">
        <v>45464</v>
      </c>
      <c r="L176" s="1"/>
      <c r="M176" s="1">
        <v>45434</v>
      </c>
      <c r="N176" s="1">
        <v>1</v>
      </c>
      <c r="O176" s="1" t="s">
        <v>635</v>
      </c>
      <c r="P176" t="s">
        <v>236</v>
      </c>
      <c r="Q176" t="s">
        <v>42</v>
      </c>
      <c r="R176" t="s">
        <v>229</v>
      </c>
      <c r="S176" t="s">
        <v>45</v>
      </c>
      <c r="T176" t="s">
        <v>329</v>
      </c>
      <c r="U176" t="s">
        <v>30</v>
      </c>
      <c r="V176" s="1">
        <v>45468</v>
      </c>
      <c r="W176" s="1" t="s">
        <v>46</v>
      </c>
      <c r="X176" t="s">
        <v>32</v>
      </c>
      <c r="Y176" s="1">
        <v>45468</v>
      </c>
      <c r="Z176" s="1" t="s">
        <v>1120</v>
      </c>
      <c r="AA176" t="s">
        <v>543</v>
      </c>
      <c r="AB176" t="s">
        <v>1518</v>
      </c>
      <c r="AC176" t="str">
        <f>INDEX('DB Description'!$A$1:$B$23,MATCH(Tabela2[[#This Row],[Filial DB code]],'DB Description'!A:A,),2)</f>
        <v xml:space="preserve">Vianmaq </v>
      </c>
      <c r="AD176" s="9">
        <f>Tabela2[[#This Row],[Issue2]]-Tabela2[[#This Row],[Failure2]]</f>
        <v>4</v>
      </c>
      <c r="AE176" t="str">
        <f t="shared" si="30"/>
        <v>FY2024</v>
      </c>
      <c r="AF176">
        <f>YEAR(Tabela2[[#This Row],[Issue2]])</f>
        <v>2024</v>
      </c>
    </row>
    <row r="177" spans="1:32" x14ac:dyDescent="0.35">
      <c r="A177" t="s">
        <v>1123</v>
      </c>
      <c r="B177" t="s">
        <v>1124</v>
      </c>
      <c r="C177" t="s">
        <v>348</v>
      </c>
      <c r="D177" t="s">
        <v>1125</v>
      </c>
      <c r="E177" t="s">
        <v>1873</v>
      </c>
      <c r="F177" t="s">
        <v>1924</v>
      </c>
      <c r="I177">
        <v>924</v>
      </c>
      <c r="J177" t="s">
        <v>37</v>
      </c>
      <c r="K177" s="1">
        <v>45464</v>
      </c>
      <c r="L177" s="1"/>
      <c r="M177" s="1">
        <v>45205</v>
      </c>
      <c r="N177" s="1">
        <v>45246</v>
      </c>
      <c r="O177" s="1" t="s">
        <v>1126</v>
      </c>
      <c r="P177" t="s">
        <v>226</v>
      </c>
      <c r="Q177" t="s">
        <v>94</v>
      </c>
      <c r="R177" t="s">
        <v>40</v>
      </c>
      <c r="S177" t="s">
        <v>45</v>
      </c>
      <c r="U177" t="s">
        <v>38</v>
      </c>
      <c r="V177" s="1">
        <v>45470</v>
      </c>
      <c r="W177" s="1" t="s">
        <v>31</v>
      </c>
      <c r="X177" t="s">
        <v>32</v>
      </c>
      <c r="Y177" s="1">
        <v>45471</v>
      </c>
      <c r="Z177" s="1" t="s">
        <v>1127</v>
      </c>
      <c r="AA177" t="s">
        <v>359</v>
      </c>
      <c r="AB177" t="s">
        <v>1523</v>
      </c>
      <c r="AC177" t="str">
        <f>INDEX('DB Description'!$A$1:$B$23,MATCH(Tabela2[[#This Row],[Filial DB code]],'DB Description'!A:A,),2)</f>
        <v>FW</v>
      </c>
      <c r="AD177" s="9">
        <f>Tabela2[[#This Row],[Issue2]]-Tabela2[[#This Row],[Failure2]]</f>
        <v>7</v>
      </c>
      <c r="AE177" t="str">
        <f t="shared" si="30"/>
        <v>FY2024</v>
      </c>
      <c r="AF177">
        <f>YEAR(Tabela2[[#This Row],[Issue2]])</f>
        <v>2024</v>
      </c>
    </row>
    <row r="178" spans="1:32" x14ac:dyDescent="0.35">
      <c r="A178" t="s">
        <v>1128</v>
      </c>
      <c r="B178" t="s">
        <v>1129</v>
      </c>
      <c r="C178" t="s">
        <v>348</v>
      </c>
      <c r="D178" t="s">
        <v>1130</v>
      </c>
      <c r="E178" t="s">
        <v>1864</v>
      </c>
      <c r="F178" t="s">
        <v>1863</v>
      </c>
      <c r="G178" t="s">
        <v>1131</v>
      </c>
      <c r="I178">
        <v>598</v>
      </c>
      <c r="J178" t="s">
        <v>37</v>
      </c>
      <c r="K178" s="1">
        <v>45468</v>
      </c>
      <c r="L178" s="1">
        <v>45470</v>
      </c>
      <c r="M178" s="1">
        <v>44959</v>
      </c>
      <c r="N178" s="1">
        <v>45198</v>
      </c>
      <c r="O178" s="1" t="s">
        <v>293</v>
      </c>
      <c r="P178" t="s">
        <v>130</v>
      </c>
      <c r="Q178" t="s">
        <v>155</v>
      </c>
      <c r="R178" t="s">
        <v>304</v>
      </c>
      <c r="S178" t="s">
        <v>45</v>
      </c>
      <c r="U178" t="s">
        <v>38</v>
      </c>
      <c r="V178" s="1">
        <v>45475</v>
      </c>
      <c r="W178" s="1" t="s">
        <v>46</v>
      </c>
      <c r="X178" t="s">
        <v>32</v>
      </c>
      <c r="Y178" s="1">
        <v>45475</v>
      </c>
      <c r="Z178" s="1" t="s">
        <v>1132</v>
      </c>
      <c r="AA178" t="s">
        <v>543</v>
      </c>
      <c r="AB178" t="s">
        <v>1518</v>
      </c>
      <c r="AC178" t="str">
        <f>INDEX('DB Description'!$A$1:$B$23,MATCH(Tabela2[[#This Row],[Filial DB code]],'DB Description'!A:A,),2)</f>
        <v xml:space="preserve">Vianmaq </v>
      </c>
      <c r="AD178" s="9">
        <f>Tabela2[[#This Row],[Issue2]]-Tabela2[[#This Row],[Failure2]]</f>
        <v>7</v>
      </c>
      <c r="AE178" t="str">
        <f t="shared" ref="AE178:AE183" si="31">"FY"&amp;IF(MONTH(Y178)&gt;=4,YEAR(Y178),YEAR(Y178)-1)</f>
        <v>FY2024</v>
      </c>
      <c r="AF178">
        <f>YEAR(Tabela2[[#This Row],[Issue2]])</f>
        <v>2024</v>
      </c>
    </row>
    <row r="179" spans="1:32" x14ac:dyDescent="0.35">
      <c r="A179" t="s">
        <v>1139</v>
      </c>
      <c r="B179" t="s">
        <v>1140</v>
      </c>
      <c r="C179" t="s">
        <v>1135</v>
      </c>
      <c r="D179" t="s">
        <v>105</v>
      </c>
      <c r="E179" t="s">
        <v>1878</v>
      </c>
      <c r="F179" t="s">
        <v>681</v>
      </c>
      <c r="G179" t="s">
        <v>1141</v>
      </c>
      <c r="I179">
        <v>6.3</v>
      </c>
      <c r="J179" t="s">
        <v>332</v>
      </c>
      <c r="K179" s="1">
        <v>45469</v>
      </c>
      <c r="L179" s="1"/>
      <c r="M179" s="1">
        <v>45440</v>
      </c>
      <c r="N179" s="1">
        <v>1</v>
      </c>
      <c r="O179" s="1" t="s">
        <v>635</v>
      </c>
      <c r="P179" t="s">
        <v>1142</v>
      </c>
      <c r="Q179" t="s">
        <v>42</v>
      </c>
      <c r="R179" t="s">
        <v>162</v>
      </c>
      <c r="S179" t="s">
        <v>45</v>
      </c>
      <c r="T179" t="s">
        <v>329</v>
      </c>
      <c r="U179" t="s">
        <v>30</v>
      </c>
      <c r="V179" s="1">
        <v>45478</v>
      </c>
      <c r="W179" s="1" t="s">
        <v>46</v>
      </c>
      <c r="X179" t="s">
        <v>32</v>
      </c>
      <c r="Y179" s="1">
        <v>45478</v>
      </c>
      <c r="Z179" s="1" t="s">
        <v>1143</v>
      </c>
      <c r="AA179" t="s">
        <v>543</v>
      </c>
      <c r="AB179" t="s">
        <v>1518</v>
      </c>
      <c r="AC179" t="str">
        <f>INDEX('DB Description'!$A$1:$B$23,MATCH(Tabela2[[#This Row],[Filial DB code]],'DB Description'!A:A,),2)</f>
        <v xml:space="preserve">Vianmaq </v>
      </c>
      <c r="AD179" s="9">
        <f>Tabela2[[#This Row],[Issue2]]-Tabela2[[#This Row],[Failure2]]</f>
        <v>9</v>
      </c>
      <c r="AE179" t="str">
        <f t="shared" si="31"/>
        <v>FY2024</v>
      </c>
      <c r="AF179">
        <f>YEAR(Tabela2[[#This Row],[Issue2]])</f>
        <v>2024</v>
      </c>
    </row>
    <row r="180" spans="1:32" x14ac:dyDescent="0.35">
      <c r="A180" t="s">
        <v>1133</v>
      </c>
      <c r="B180" t="s">
        <v>1134</v>
      </c>
      <c r="C180" t="s">
        <v>1135</v>
      </c>
      <c r="D180" t="s">
        <v>1136</v>
      </c>
      <c r="E180" t="s">
        <v>1878</v>
      </c>
      <c r="F180" t="s">
        <v>681</v>
      </c>
      <c r="G180" t="s">
        <v>1137</v>
      </c>
      <c r="I180">
        <v>4</v>
      </c>
      <c r="J180" t="s">
        <v>332</v>
      </c>
      <c r="K180" s="1">
        <v>45471</v>
      </c>
      <c r="L180" s="1"/>
      <c r="M180" s="1">
        <v>45411</v>
      </c>
      <c r="N180" s="1">
        <v>1</v>
      </c>
      <c r="O180" s="1" t="s">
        <v>635</v>
      </c>
      <c r="P180" t="s">
        <v>572</v>
      </c>
      <c r="Q180" t="s">
        <v>42</v>
      </c>
      <c r="R180" t="s">
        <v>162</v>
      </c>
      <c r="S180" t="s">
        <v>45</v>
      </c>
      <c r="T180" t="s">
        <v>329</v>
      </c>
      <c r="U180" t="s">
        <v>30</v>
      </c>
      <c r="V180" s="1">
        <v>45478</v>
      </c>
      <c r="W180" s="1" t="s">
        <v>46</v>
      </c>
      <c r="X180" t="s">
        <v>32</v>
      </c>
      <c r="Y180" s="1">
        <v>45478</v>
      </c>
      <c r="Z180" s="1" t="s">
        <v>1138</v>
      </c>
      <c r="AA180" t="s">
        <v>543</v>
      </c>
      <c r="AB180" t="s">
        <v>1518</v>
      </c>
      <c r="AC180" t="str">
        <f>INDEX('DB Description'!$A$1:$B$23,MATCH(Tabela2[[#This Row],[Filial DB code]],'DB Description'!A:A,),2)</f>
        <v xml:space="preserve">Vianmaq </v>
      </c>
      <c r="AD180" s="9">
        <f>Tabela2[[#This Row],[Issue2]]-Tabela2[[#This Row],[Failure2]]</f>
        <v>7</v>
      </c>
      <c r="AE180" t="str">
        <f t="shared" si="31"/>
        <v>FY2024</v>
      </c>
      <c r="AF180">
        <f>YEAR(Tabela2[[#This Row],[Issue2]])</f>
        <v>2024</v>
      </c>
    </row>
    <row r="181" spans="1:32" x14ac:dyDescent="0.35">
      <c r="A181" t="s">
        <v>1144</v>
      </c>
      <c r="B181" t="s">
        <v>1145</v>
      </c>
      <c r="C181" t="s">
        <v>348</v>
      </c>
      <c r="D181" t="s">
        <v>123</v>
      </c>
      <c r="E181" s="4" t="s">
        <v>1862</v>
      </c>
      <c r="F181" t="s">
        <v>164</v>
      </c>
      <c r="G181" t="s">
        <v>1146</v>
      </c>
      <c r="I181">
        <v>821</v>
      </c>
      <c r="J181" t="s">
        <v>37</v>
      </c>
      <c r="K181" s="1">
        <v>45311</v>
      </c>
      <c r="L181" s="1">
        <v>45467</v>
      </c>
      <c r="M181" s="1">
        <v>45093</v>
      </c>
      <c r="N181" s="1">
        <v>45112</v>
      </c>
      <c r="O181" s="1" t="s">
        <v>1147</v>
      </c>
      <c r="P181" t="s">
        <v>255</v>
      </c>
      <c r="Q181" t="s">
        <v>278</v>
      </c>
      <c r="R181" t="s">
        <v>50</v>
      </c>
      <c r="S181" t="s">
        <v>45</v>
      </c>
      <c r="U181" t="s">
        <v>38</v>
      </c>
      <c r="V181" s="1">
        <v>45483</v>
      </c>
      <c r="W181" s="1" t="s">
        <v>46</v>
      </c>
      <c r="X181" t="s">
        <v>32</v>
      </c>
      <c r="Y181" s="1">
        <v>45483</v>
      </c>
      <c r="Z181" s="1" t="s">
        <v>1148</v>
      </c>
      <c r="AA181" t="s">
        <v>543</v>
      </c>
      <c r="AB181" t="s">
        <v>1518</v>
      </c>
      <c r="AC181" t="str">
        <f>INDEX('DB Description'!$A$1:$B$23,MATCH(Tabela2[[#This Row],[Filial DB code]],'DB Description'!A:A,),2)</f>
        <v xml:space="preserve">Vianmaq </v>
      </c>
      <c r="AD181" s="9">
        <f>Tabela2[[#This Row],[Issue2]]-Tabela2[[#This Row],[Failure2]]</f>
        <v>172</v>
      </c>
      <c r="AE181" t="str">
        <f t="shared" si="31"/>
        <v>FY2024</v>
      </c>
      <c r="AF181">
        <f>YEAR(Tabela2[[#This Row],[Issue2]])</f>
        <v>2024</v>
      </c>
    </row>
    <row r="182" spans="1:32" x14ac:dyDescent="0.35">
      <c r="A182" t="s">
        <v>1149</v>
      </c>
      <c r="B182" t="s">
        <v>1150</v>
      </c>
      <c r="C182" t="s">
        <v>348</v>
      </c>
      <c r="D182" t="s">
        <v>1151</v>
      </c>
      <c r="E182" t="s">
        <v>1866</v>
      </c>
      <c r="F182" t="s">
        <v>266</v>
      </c>
      <c r="G182" t="s">
        <v>1152</v>
      </c>
      <c r="I182">
        <v>21</v>
      </c>
      <c r="J182" t="s">
        <v>332</v>
      </c>
      <c r="K182" s="1">
        <v>45456</v>
      </c>
      <c r="L182" s="1">
        <v>45463</v>
      </c>
      <c r="M182" s="1">
        <v>45343</v>
      </c>
      <c r="N182" s="1">
        <v>45441</v>
      </c>
      <c r="O182" s="1" t="s">
        <v>1153</v>
      </c>
      <c r="P182" t="s">
        <v>1154</v>
      </c>
      <c r="Q182" t="s">
        <v>176</v>
      </c>
      <c r="R182" t="s">
        <v>193</v>
      </c>
      <c r="S182" t="s">
        <v>45</v>
      </c>
      <c r="T182" t="s">
        <v>329</v>
      </c>
      <c r="U182" t="s">
        <v>30</v>
      </c>
      <c r="V182" s="1">
        <v>45488</v>
      </c>
      <c r="W182" s="1" t="s">
        <v>61</v>
      </c>
      <c r="X182" t="s">
        <v>32</v>
      </c>
      <c r="Y182" s="1">
        <v>45488</v>
      </c>
      <c r="AA182" t="s">
        <v>1095</v>
      </c>
      <c r="AB182" t="s">
        <v>1631</v>
      </c>
      <c r="AC182" t="str">
        <f>INDEX('DB Description'!$A$1:$B$23,MATCH(Tabela2[[#This Row],[Filial DB code]],'DB Description'!A:A,),2)</f>
        <v>VAMOS (2131F)</v>
      </c>
      <c r="AD182" s="9">
        <f>Tabela2[[#This Row],[Issue2]]-Tabela2[[#This Row],[Failure2]]</f>
        <v>32</v>
      </c>
      <c r="AE182" t="str">
        <f t="shared" si="31"/>
        <v>FY2024</v>
      </c>
      <c r="AF182">
        <f>YEAR(Tabela2[[#This Row],[Issue2]])</f>
        <v>2024</v>
      </c>
    </row>
    <row r="183" spans="1:32" x14ac:dyDescent="0.35">
      <c r="A183" t="s">
        <v>1157</v>
      </c>
      <c r="B183" t="s">
        <v>1158</v>
      </c>
      <c r="C183" t="s">
        <v>348</v>
      </c>
      <c r="D183" t="s">
        <v>288</v>
      </c>
      <c r="E183" t="s">
        <v>1895</v>
      </c>
      <c r="F183" t="s">
        <v>1929</v>
      </c>
      <c r="I183">
        <v>1319</v>
      </c>
      <c r="J183" t="s">
        <v>37</v>
      </c>
      <c r="K183" s="1">
        <v>45422</v>
      </c>
      <c r="L183" s="1">
        <v>45471</v>
      </c>
      <c r="M183" s="1">
        <v>45124</v>
      </c>
      <c r="N183" s="1">
        <v>45170</v>
      </c>
      <c r="O183" s="1" t="s">
        <v>1159</v>
      </c>
      <c r="P183" t="s">
        <v>90</v>
      </c>
      <c r="Q183" t="s">
        <v>85</v>
      </c>
      <c r="R183" t="s">
        <v>249</v>
      </c>
      <c r="S183" t="s">
        <v>45</v>
      </c>
      <c r="U183" t="s">
        <v>38</v>
      </c>
      <c r="V183" s="1">
        <v>45492</v>
      </c>
      <c r="W183" s="1" t="s">
        <v>53</v>
      </c>
      <c r="X183" t="s">
        <v>32</v>
      </c>
      <c r="Y183" s="1">
        <v>45492</v>
      </c>
      <c r="AA183" t="s">
        <v>705</v>
      </c>
      <c r="AB183" t="s">
        <v>243</v>
      </c>
      <c r="AC183" t="str">
        <f>INDEX('DB Description'!$A$1:$B$23,MATCH(Tabela2[[#This Row],[Filial DB code]],'DB Description'!A:A,),2)</f>
        <v>Bauko</v>
      </c>
      <c r="AD183" s="9">
        <f>Tabela2[[#This Row],[Issue2]]-Tabela2[[#This Row],[Failure2]]</f>
        <v>70</v>
      </c>
      <c r="AE183" t="str">
        <f t="shared" si="31"/>
        <v>FY2024</v>
      </c>
      <c r="AF183">
        <f>YEAR(Tabela2[[#This Row],[Issue2]])</f>
        <v>2024</v>
      </c>
    </row>
    <row r="184" spans="1:32" x14ac:dyDescent="0.35">
      <c r="A184" t="s">
        <v>1160</v>
      </c>
      <c r="B184" t="s">
        <v>1161</v>
      </c>
      <c r="C184" t="s">
        <v>348</v>
      </c>
      <c r="D184" t="s">
        <v>1162</v>
      </c>
      <c r="E184" t="s">
        <v>1933</v>
      </c>
      <c r="F184" t="s">
        <v>1932</v>
      </c>
      <c r="I184">
        <v>181</v>
      </c>
      <c r="J184" t="s">
        <v>37</v>
      </c>
      <c r="K184" s="1">
        <v>45489</v>
      </c>
      <c r="L184" s="1"/>
      <c r="M184" s="1">
        <v>45105</v>
      </c>
      <c r="N184" s="1">
        <v>45260</v>
      </c>
      <c r="O184" s="1" t="s">
        <v>1163</v>
      </c>
      <c r="P184" t="s">
        <v>95</v>
      </c>
      <c r="Q184" t="s">
        <v>78</v>
      </c>
      <c r="R184" t="s">
        <v>50</v>
      </c>
      <c r="S184" t="s">
        <v>45</v>
      </c>
      <c r="U184" t="s">
        <v>38</v>
      </c>
      <c r="V184" s="1">
        <v>45495</v>
      </c>
      <c r="W184" s="1" t="s">
        <v>53</v>
      </c>
      <c r="X184" t="s">
        <v>32</v>
      </c>
      <c r="Y184" s="1">
        <v>45495</v>
      </c>
      <c r="Z184" s="1" t="s">
        <v>1164</v>
      </c>
      <c r="AA184" t="s">
        <v>528</v>
      </c>
      <c r="AB184" t="s">
        <v>1520</v>
      </c>
      <c r="AC184" t="str">
        <f>INDEX('DB Description'!$A$1:$B$23,MATCH(Tabela2[[#This Row],[Filial DB code]],'DB Description'!A:A,),2)</f>
        <v>Bauko</v>
      </c>
      <c r="AD184" s="9">
        <f>Tabela2[[#This Row],[Issue2]]-Tabela2[[#This Row],[Failure2]]</f>
        <v>6</v>
      </c>
      <c r="AE184" t="str">
        <f t="shared" ref="AE184:AE188" si="32">"FY"&amp;IF(MONTH(Y184)&gt;=4,YEAR(Y184),YEAR(Y184)-1)</f>
        <v>FY2024</v>
      </c>
      <c r="AF184">
        <f>YEAR(Tabela2[[#This Row],[Issue2]])</f>
        <v>2024</v>
      </c>
    </row>
    <row r="185" spans="1:32" x14ac:dyDescent="0.35">
      <c r="A185" t="s">
        <v>1165</v>
      </c>
      <c r="B185" t="s">
        <v>1166</v>
      </c>
      <c r="C185" t="s">
        <v>348</v>
      </c>
      <c r="D185" t="s">
        <v>888</v>
      </c>
      <c r="E185" t="s">
        <v>1934</v>
      </c>
      <c r="F185" t="s">
        <v>143</v>
      </c>
      <c r="I185">
        <v>241</v>
      </c>
      <c r="J185" t="s">
        <v>37</v>
      </c>
      <c r="K185" s="1">
        <v>45411</v>
      </c>
      <c r="L185" s="1">
        <v>45449</v>
      </c>
      <c r="M185" s="1">
        <v>45196</v>
      </c>
      <c r="N185" s="1">
        <v>45236</v>
      </c>
      <c r="O185" s="1" t="s">
        <v>192</v>
      </c>
      <c r="P185" t="s">
        <v>279</v>
      </c>
      <c r="Q185" t="s">
        <v>97</v>
      </c>
      <c r="R185" t="s">
        <v>50</v>
      </c>
      <c r="S185" t="s">
        <v>45</v>
      </c>
      <c r="U185" t="s">
        <v>38</v>
      </c>
      <c r="V185" s="1">
        <v>45496</v>
      </c>
      <c r="W185" s="1" t="s">
        <v>53</v>
      </c>
      <c r="X185" t="s">
        <v>32</v>
      </c>
      <c r="Y185" s="1">
        <v>45496</v>
      </c>
      <c r="AA185" t="s">
        <v>705</v>
      </c>
      <c r="AB185" t="s">
        <v>243</v>
      </c>
      <c r="AC185" t="str">
        <f>INDEX('DB Description'!$A$1:$B$23,MATCH(Tabela2[[#This Row],[Filial DB code]],'DB Description'!A:A,),2)</f>
        <v>Bauko</v>
      </c>
      <c r="AD185" s="9">
        <f>Tabela2[[#This Row],[Issue2]]-Tabela2[[#This Row],[Failure2]]</f>
        <v>85</v>
      </c>
      <c r="AE185" t="str">
        <f t="shared" si="32"/>
        <v>FY2024</v>
      </c>
      <c r="AF185">
        <f>YEAR(Tabela2[[#This Row],[Issue2]])</f>
        <v>2024</v>
      </c>
    </row>
    <row r="186" spans="1:32" x14ac:dyDescent="0.35">
      <c r="A186" t="s">
        <v>1167</v>
      </c>
      <c r="B186" t="s">
        <v>1168</v>
      </c>
      <c r="C186" t="s">
        <v>348</v>
      </c>
      <c r="D186" t="s">
        <v>1169</v>
      </c>
      <c r="E186" t="s">
        <v>1935</v>
      </c>
      <c r="F186" t="s">
        <v>1936</v>
      </c>
      <c r="G186" t="s">
        <v>1170</v>
      </c>
      <c r="I186">
        <v>407</v>
      </c>
      <c r="J186" t="s">
        <v>37</v>
      </c>
      <c r="K186" s="1">
        <v>45460</v>
      </c>
      <c r="L186" s="1"/>
      <c r="M186" s="1">
        <v>45351</v>
      </c>
      <c r="N186" s="1">
        <v>45379</v>
      </c>
      <c r="O186" s="1" t="s">
        <v>1171</v>
      </c>
      <c r="P186" t="s">
        <v>1172</v>
      </c>
      <c r="Q186" t="s">
        <v>91</v>
      </c>
      <c r="R186" t="s">
        <v>304</v>
      </c>
      <c r="S186" t="s">
        <v>45</v>
      </c>
      <c r="U186" t="s">
        <v>38</v>
      </c>
      <c r="V186" s="1">
        <v>45498</v>
      </c>
      <c r="W186" s="1" t="s">
        <v>46</v>
      </c>
      <c r="X186" t="s">
        <v>32</v>
      </c>
      <c r="Y186" s="1">
        <v>45498</v>
      </c>
      <c r="Z186" s="1" t="s">
        <v>1173</v>
      </c>
      <c r="AA186" t="s">
        <v>543</v>
      </c>
      <c r="AB186" t="s">
        <v>1518</v>
      </c>
      <c r="AC186" t="str">
        <f>INDEX('DB Description'!$A$1:$B$23,MATCH(Tabela2[[#This Row],[Filial DB code]],'DB Description'!A:A,),2)</f>
        <v xml:space="preserve">Vianmaq </v>
      </c>
      <c r="AD186" s="9">
        <f>Tabela2[[#This Row],[Issue2]]-Tabela2[[#This Row],[Failure2]]</f>
        <v>38</v>
      </c>
      <c r="AE186" t="str">
        <f t="shared" si="32"/>
        <v>FY2024</v>
      </c>
      <c r="AF186">
        <f>YEAR(Tabela2[[#This Row],[Issue2]])</f>
        <v>2024</v>
      </c>
    </row>
    <row r="187" spans="1:32" x14ac:dyDescent="0.35">
      <c r="A187" t="s">
        <v>1174</v>
      </c>
      <c r="B187" t="s">
        <v>1175</v>
      </c>
      <c r="C187" t="s">
        <v>348</v>
      </c>
      <c r="D187" t="s">
        <v>101</v>
      </c>
      <c r="E187" t="s">
        <v>1853</v>
      </c>
      <c r="F187" t="s">
        <v>1927</v>
      </c>
      <c r="I187">
        <v>207</v>
      </c>
      <c r="J187" t="s">
        <v>37</v>
      </c>
      <c r="K187" s="1">
        <v>45455</v>
      </c>
      <c r="L187" s="1">
        <v>45455</v>
      </c>
      <c r="M187" s="1">
        <v>45348</v>
      </c>
      <c r="N187" s="1">
        <v>45393</v>
      </c>
      <c r="O187" s="1" t="s">
        <v>295</v>
      </c>
      <c r="P187" t="s">
        <v>559</v>
      </c>
      <c r="Q187" t="s">
        <v>42</v>
      </c>
      <c r="R187" t="s">
        <v>299</v>
      </c>
      <c r="S187" t="s">
        <v>45</v>
      </c>
      <c r="U187" t="s">
        <v>38</v>
      </c>
      <c r="V187" s="1">
        <v>45497</v>
      </c>
      <c r="W187" s="1" t="s">
        <v>53</v>
      </c>
      <c r="X187" t="s">
        <v>32</v>
      </c>
      <c r="Y187" s="1">
        <v>45498</v>
      </c>
      <c r="AA187" t="s">
        <v>705</v>
      </c>
      <c r="AB187" t="s">
        <v>243</v>
      </c>
      <c r="AC187" t="str">
        <f>INDEX('DB Description'!$A$1:$B$23,MATCH(Tabela2[[#This Row],[Filial DB code]],'DB Description'!A:A,),2)</f>
        <v>Bauko</v>
      </c>
      <c r="AD187" s="9">
        <f>Tabela2[[#This Row],[Issue2]]-Tabela2[[#This Row],[Failure2]]</f>
        <v>43</v>
      </c>
      <c r="AE187" t="str">
        <f t="shared" si="32"/>
        <v>FY2024</v>
      </c>
      <c r="AF187">
        <f>YEAR(Tabela2[[#This Row],[Issue2]])</f>
        <v>2024</v>
      </c>
    </row>
    <row r="188" spans="1:32" x14ac:dyDescent="0.35">
      <c r="A188" t="s">
        <v>1176</v>
      </c>
      <c r="B188" t="s">
        <v>1177</v>
      </c>
      <c r="C188" t="s">
        <v>348</v>
      </c>
      <c r="D188" t="s">
        <v>150</v>
      </c>
      <c r="E188" t="s">
        <v>1912</v>
      </c>
      <c r="F188" t="s">
        <v>1913</v>
      </c>
      <c r="G188" t="s">
        <v>1178</v>
      </c>
      <c r="I188">
        <v>127</v>
      </c>
      <c r="J188" t="s">
        <v>37</v>
      </c>
      <c r="K188" s="1">
        <v>45483</v>
      </c>
      <c r="L188" s="1">
        <v>45492</v>
      </c>
      <c r="M188" s="1">
        <v>45426</v>
      </c>
      <c r="N188" s="1">
        <v>45440</v>
      </c>
      <c r="O188" s="1" t="s">
        <v>322</v>
      </c>
      <c r="P188" t="s">
        <v>1179</v>
      </c>
      <c r="Q188" t="s">
        <v>204</v>
      </c>
      <c r="R188" t="s">
        <v>193</v>
      </c>
      <c r="S188" t="s">
        <v>45</v>
      </c>
      <c r="U188" t="s">
        <v>38</v>
      </c>
      <c r="V188" s="1">
        <v>45506</v>
      </c>
      <c r="W188" s="1" t="s">
        <v>46</v>
      </c>
      <c r="X188" t="s">
        <v>32</v>
      </c>
      <c r="Y188" s="1">
        <v>45506</v>
      </c>
      <c r="Z188" s="1" t="s">
        <v>1180</v>
      </c>
      <c r="AA188" t="s">
        <v>543</v>
      </c>
      <c r="AB188" t="s">
        <v>1518</v>
      </c>
      <c r="AC188" t="str">
        <f>INDEX('DB Description'!$A$1:$B$23,MATCH(Tabela2[[#This Row],[Filial DB code]],'DB Description'!A:A,),2)</f>
        <v xml:space="preserve">Vianmaq </v>
      </c>
      <c r="AD188" s="9">
        <f>Tabela2[[#This Row],[Issue2]]-Tabela2[[#This Row],[Failure2]]</f>
        <v>23</v>
      </c>
      <c r="AE188" t="str">
        <f t="shared" si="32"/>
        <v>FY2024</v>
      </c>
      <c r="AF188">
        <f>YEAR(Tabela2[[#This Row],[Issue2]])</f>
        <v>2024</v>
      </c>
    </row>
    <row r="189" spans="1:32" x14ac:dyDescent="0.35">
      <c r="A189" t="s">
        <v>1181</v>
      </c>
      <c r="B189" t="s">
        <v>1182</v>
      </c>
      <c r="C189" t="s">
        <v>348</v>
      </c>
      <c r="D189" t="s">
        <v>1058</v>
      </c>
      <c r="E189" t="s">
        <v>1850</v>
      </c>
      <c r="F189" t="s">
        <v>1937</v>
      </c>
      <c r="I189">
        <v>352</v>
      </c>
      <c r="J189" t="s">
        <v>37</v>
      </c>
      <c r="K189" s="1">
        <v>45470</v>
      </c>
      <c r="L189" s="1">
        <v>45495</v>
      </c>
      <c r="M189" s="1">
        <v>45188</v>
      </c>
      <c r="N189" s="1">
        <v>45261</v>
      </c>
      <c r="O189" s="1" t="s">
        <v>1183</v>
      </c>
      <c r="P189" t="s">
        <v>1184</v>
      </c>
      <c r="Q189" t="s">
        <v>91</v>
      </c>
      <c r="R189" t="s">
        <v>50</v>
      </c>
      <c r="S189" t="s">
        <v>45</v>
      </c>
      <c r="U189" t="s">
        <v>38</v>
      </c>
      <c r="V189" s="1">
        <v>45510</v>
      </c>
      <c r="W189" s="1" t="s">
        <v>53</v>
      </c>
      <c r="X189" t="s">
        <v>32</v>
      </c>
      <c r="Y189" s="1">
        <v>45510</v>
      </c>
      <c r="AA189" t="s">
        <v>705</v>
      </c>
      <c r="AB189" t="s">
        <v>243</v>
      </c>
      <c r="AC189" t="str">
        <f>INDEX('DB Description'!$A$1:$B$23,MATCH(Tabela2[[#This Row],[Filial DB code]],'DB Description'!A:A,),2)</f>
        <v>Bauko</v>
      </c>
      <c r="AD189" s="9">
        <f>Tabela2[[#This Row],[Issue2]]-Tabela2[[#This Row],[Failure2]]</f>
        <v>40</v>
      </c>
      <c r="AE189" t="str">
        <f t="shared" ref="AE189" si="33">"FY"&amp;IF(MONTH(Y189)&gt;=4,YEAR(Y189),YEAR(Y189)-1)</f>
        <v>FY2024</v>
      </c>
      <c r="AF189">
        <f>YEAR(Tabela2[[#This Row],[Issue2]])</f>
        <v>2024</v>
      </c>
    </row>
    <row r="190" spans="1:32" x14ac:dyDescent="0.35">
      <c r="A190" t="s">
        <v>1187</v>
      </c>
      <c r="B190" t="s">
        <v>1188</v>
      </c>
      <c r="C190" t="s">
        <v>348</v>
      </c>
      <c r="D190" t="s">
        <v>1189</v>
      </c>
      <c r="E190" t="s">
        <v>1933</v>
      </c>
      <c r="F190" t="s">
        <v>855</v>
      </c>
      <c r="G190" t="s">
        <v>1190</v>
      </c>
      <c r="I190">
        <v>501</v>
      </c>
      <c r="J190" t="s">
        <v>154</v>
      </c>
      <c r="K190" s="1">
        <v>45509</v>
      </c>
      <c r="L190" s="1">
        <v>45513</v>
      </c>
      <c r="M190" s="1">
        <v>45405</v>
      </c>
      <c r="N190" s="1">
        <v>45418</v>
      </c>
      <c r="O190" s="1" t="s">
        <v>170</v>
      </c>
      <c r="P190" t="s">
        <v>1191</v>
      </c>
      <c r="Q190" t="s">
        <v>168</v>
      </c>
      <c r="R190" t="s">
        <v>229</v>
      </c>
      <c r="S190" t="s">
        <v>45</v>
      </c>
      <c r="T190" t="s">
        <v>415</v>
      </c>
      <c r="U190" t="s">
        <v>409</v>
      </c>
      <c r="V190" s="1">
        <v>45533</v>
      </c>
      <c r="W190" s="1" t="s">
        <v>64</v>
      </c>
      <c r="X190" t="s">
        <v>32</v>
      </c>
      <c r="Y190" s="1">
        <v>45533</v>
      </c>
      <c r="AA190" t="s">
        <v>344</v>
      </c>
      <c r="AB190" t="s">
        <v>1522</v>
      </c>
      <c r="AC190" t="str">
        <f>INDEX('DB Description'!$A$1:$B$23,MATCH(Tabela2[[#This Row],[Filial DB code]],'DB Description'!A:A,),2)</f>
        <v>Mason</v>
      </c>
      <c r="AD190" s="9">
        <f>Tabela2[[#This Row],[Issue2]]-Tabela2[[#This Row],[Failure2]]</f>
        <v>24</v>
      </c>
      <c r="AE190" t="str">
        <f t="shared" ref="AE190:AE197" si="34">"FY"&amp;IF(MONTH(Y190)&gt;=4,YEAR(Y190),YEAR(Y190)-1)</f>
        <v>FY2024</v>
      </c>
      <c r="AF190">
        <f>YEAR(Tabela2[[#This Row],[Issue2]])</f>
        <v>2024</v>
      </c>
    </row>
    <row r="191" spans="1:32" x14ac:dyDescent="0.35">
      <c r="A191" t="s">
        <v>1194</v>
      </c>
      <c r="B191" t="s">
        <v>1195</v>
      </c>
      <c r="C191" t="s">
        <v>348</v>
      </c>
      <c r="D191" t="s">
        <v>1196</v>
      </c>
      <c r="E191" t="s">
        <v>1866</v>
      </c>
      <c r="F191" t="s">
        <v>266</v>
      </c>
      <c r="G191" t="s">
        <v>1197</v>
      </c>
      <c r="I191">
        <v>82</v>
      </c>
      <c r="J191" t="s">
        <v>39</v>
      </c>
      <c r="K191" s="1">
        <v>45525</v>
      </c>
      <c r="L191" s="1">
        <v>45525</v>
      </c>
      <c r="M191" s="1">
        <v>44848</v>
      </c>
      <c r="N191" s="1">
        <v>44944</v>
      </c>
      <c r="O191" s="1" t="s">
        <v>398</v>
      </c>
      <c r="P191" t="s">
        <v>1198</v>
      </c>
      <c r="Q191" t="s">
        <v>42</v>
      </c>
      <c r="R191" t="s">
        <v>50</v>
      </c>
      <c r="S191" t="s">
        <v>36</v>
      </c>
      <c r="T191" t="s">
        <v>786</v>
      </c>
      <c r="U191" t="s">
        <v>30</v>
      </c>
      <c r="V191" s="1">
        <v>45544</v>
      </c>
      <c r="W191" s="1" t="s">
        <v>55</v>
      </c>
      <c r="X191" t="s">
        <v>32</v>
      </c>
      <c r="Y191" s="1">
        <v>45544</v>
      </c>
      <c r="Z191" s="1" t="s">
        <v>1199</v>
      </c>
      <c r="AA191" t="s">
        <v>964</v>
      </c>
      <c r="AB191" t="s">
        <v>1513</v>
      </c>
      <c r="AC191" t="str">
        <f>INDEX('DB Description'!$A$1:$B$23,MATCH(Tabela2[[#This Row],[Filial DB code]],'DB Description'!A:A,),2)</f>
        <v>DCCO</v>
      </c>
      <c r="AD191" s="9">
        <f>Tabela2[[#This Row],[Issue2]]-Tabela2[[#This Row],[Failure2]]</f>
        <v>19</v>
      </c>
      <c r="AE191" t="str">
        <f t="shared" si="34"/>
        <v>FY2024</v>
      </c>
      <c r="AF191">
        <f>YEAR(Tabela2[[#This Row],[Issue2]])</f>
        <v>2024</v>
      </c>
    </row>
    <row r="192" spans="1:32" x14ac:dyDescent="0.35">
      <c r="A192" t="s">
        <v>1205</v>
      </c>
      <c r="B192" t="s">
        <v>1206</v>
      </c>
      <c r="C192" t="s">
        <v>348</v>
      </c>
      <c r="D192" t="s">
        <v>1207</v>
      </c>
      <c r="E192" t="s">
        <v>1846</v>
      </c>
      <c r="F192" t="s">
        <v>1851</v>
      </c>
      <c r="G192" t="s">
        <v>1107</v>
      </c>
      <c r="I192">
        <v>2759</v>
      </c>
      <c r="J192" t="s">
        <v>154</v>
      </c>
      <c r="K192" s="1">
        <v>45531</v>
      </c>
      <c r="L192" s="1"/>
      <c r="M192" s="1">
        <v>44865</v>
      </c>
      <c r="N192" s="1">
        <v>44944</v>
      </c>
      <c r="O192" s="1" t="s">
        <v>139</v>
      </c>
      <c r="P192" t="s">
        <v>116</v>
      </c>
      <c r="Q192" t="s">
        <v>116</v>
      </c>
      <c r="R192" t="s">
        <v>40</v>
      </c>
      <c r="S192" t="s">
        <v>45</v>
      </c>
      <c r="T192" t="s">
        <v>415</v>
      </c>
      <c r="U192" t="s">
        <v>409</v>
      </c>
      <c r="V192" s="1">
        <v>45544</v>
      </c>
      <c r="W192" s="1" t="s">
        <v>64</v>
      </c>
      <c r="X192" t="s">
        <v>32</v>
      </c>
      <c r="Y192" s="1">
        <v>45544</v>
      </c>
      <c r="AA192" t="s">
        <v>344</v>
      </c>
      <c r="AB192" t="s">
        <v>1522</v>
      </c>
      <c r="AC192" t="str">
        <f>INDEX('DB Description'!$A$1:$B$23,MATCH(Tabela2[[#This Row],[Filial DB code]],'DB Description'!A:A,),2)</f>
        <v>Mason</v>
      </c>
      <c r="AD192" s="9">
        <f>Tabela2[[#This Row],[Issue2]]-Tabela2[[#This Row],[Failure2]]</f>
        <v>13</v>
      </c>
      <c r="AE192" t="str">
        <f t="shared" si="34"/>
        <v>FY2024</v>
      </c>
      <c r="AF192">
        <f>YEAR(Tabela2[[#This Row],[Issue2]])</f>
        <v>2024</v>
      </c>
    </row>
    <row r="193" spans="1:32" x14ac:dyDescent="0.35">
      <c r="A193" t="s">
        <v>1200</v>
      </c>
      <c r="B193" t="s">
        <v>1201</v>
      </c>
      <c r="C193" t="s">
        <v>348</v>
      </c>
      <c r="D193" t="s">
        <v>158</v>
      </c>
      <c r="E193" t="s">
        <v>1895</v>
      </c>
      <c r="F193" t="s">
        <v>1875</v>
      </c>
      <c r="G193" t="s">
        <v>1202</v>
      </c>
      <c r="I193">
        <v>52</v>
      </c>
      <c r="J193" t="s">
        <v>37</v>
      </c>
      <c r="K193" s="1">
        <v>45523</v>
      </c>
      <c r="L193" s="1">
        <v>45523</v>
      </c>
      <c r="M193" s="1">
        <v>45497</v>
      </c>
      <c r="N193" s="1">
        <v>45510</v>
      </c>
      <c r="O193" s="1" t="s">
        <v>635</v>
      </c>
      <c r="P193" t="s">
        <v>1203</v>
      </c>
      <c r="Q193" t="s">
        <v>42</v>
      </c>
      <c r="R193" t="s">
        <v>304</v>
      </c>
      <c r="S193" t="s">
        <v>45</v>
      </c>
      <c r="U193" t="s">
        <v>38</v>
      </c>
      <c r="V193" s="1">
        <v>45544</v>
      </c>
      <c r="W193" s="1" t="s">
        <v>46</v>
      </c>
      <c r="X193" t="s">
        <v>32</v>
      </c>
      <c r="Y193" s="1">
        <v>45544</v>
      </c>
      <c r="Z193" s="1" t="s">
        <v>1204</v>
      </c>
      <c r="AA193" t="s">
        <v>543</v>
      </c>
      <c r="AB193" t="s">
        <v>1518</v>
      </c>
      <c r="AC193" t="str">
        <f>INDEX('DB Description'!$A$1:$B$23,MATCH(Tabela2[[#This Row],[Filial DB code]],'DB Description'!A:A,),2)</f>
        <v xml:space="preserve">Vianmaq </v>
      </c>
      <c r="AD193" s="9">
        <f>Tabela2[[#This Row],[Issue2]]-Tabela2[[#This Row],[Failure2]]</f>
        <v>21</v>
      </c>
      <c r="AE193" t="str">
        <f t="shared" si="34"/>
        <v>FY2024</v>
      </c>
      <c r="AF193">
        <f>YEAR(Tabela2[[#This Row],[Issue2]])</f>
        <v>2024</v>
      </c>
    </row>
    <row r="194" spans="1:32" x14ac:dyDescent="0.35">
      <c r="A194" t="s">
        <v>1208</v>
      </c>
      <c r="B194" t="s">
        <v>1209</v>
      </c>
      <c r="C194" t="s">
        <v>348</v>
      </c>
      <c r="D194" t="s">
        <v>310</v>
      </c>
      <c r="E194" t="s">
        <v>1847</v>
      </c>
      <c r="F194" t="s">
        <v>1883</v>
      </c>
      <c r="I194">
        <v>1010</v>
      </c>
      <c r="J194" t="s">
        <v>37</v>
      </c>
      <c r="K194" s="1">
        <v>45504</v>
      </c>
      <c r="L194" s="1"/>
      <c r="M194" s="1">
        <v>45201</v>
      </c>
      <c r="N194" s="1">
        <v>45285</v>
      </c>
      <c r="O194" s="1" t="s">
        <v>244</v>
      </c>
      <c r="P194" t="s">
        <v>245</v>
      </c>
      <c r="Q194" t="s">
        <v>78</v>
      </c>
      <c r="R194" t="s">
        <v>40</v>
      </c>
      <c r="S194" t="s">
        <v>45</v>
      </c>
      <c r="U194" t="s">
        <v>38</v>
      </c>
      <c r="V194" s="1">
        <v>45544</v>
      </c>
      <c r="W194" s="1" t="s">
        <v>53</v>
      </c>
      <c r="X194" t="s">
        <v>32</v>
      </c>
      <c r="Y194" s="1">
        <v>45544</v>
      </c>
      <c r="Z194" s="1" t="s">
        <v>1210</v>
      </c>
      <c r="AA194" t="s">
        <v>528</v>
      </c>
      <c r="AB194" t="s">
        <v>1520</v>
      </c>
      <c r="AC194" t="str">
        <f>INDEX('DB Description'!$A$1:$B$23,MATCH(Tabela2[[#This Row],[Filial DB code]],'DB Description'!A:A,),2)</f>
        <v>Bauko</v>
      </c>
      <c r="AD194" s="9">
        <f>Tabela2[[#This Row],[Issue2]]-Tabela2[[#This Row],[Failure2]]</f>
        <v>40</v>
      </c>
      <c r="AE194" t="str">
        <f t="shared" si="34"/>
        <v>FY2024</v>
      </c>
      <c r="AF194">
        <f>YEAR(Tabela2[[#This Row],[Issue2]])</f>
        <v>2024</v>
      </c>
    </row>
    <row r="195" spans="1:32" x14ac:dyDescent="0.35">
      <c r="A195" t="s">
        <v>1211</v>
      </c>
      <c r="B195" t="s">
        <v>1212</v>
      </c>
      <c r="C195" t="s">
        <v>348</v>
      </c>
      <c r="D195" t="s">
        <v>311</v>
      </c>
      <c r="E195" t="s">
        <v>1850</v>
      </c>
      <c r="F195" t="s">
        <v>1849</v>
      </c>
      <c r="I195">
        <v>1499</v>
      </c>
      <c r="J195" t="s">
        <v>332</v>
      </c>
      <c r="K195" s="1">
        <v>45527</v>
      </c>
      <c r="L195" s="1">
        <v>45531</v>
      </c>
      <c r="M195" s="1">
        <v>45195</v>
      </c>
      <c r="N195" s="1">
        <v>45259</v>
      </c>
      <c r="O195" s="1" t="s">
        <v>1213</v>
      </c>
      <c r="P195" t="s">
        <v>1214</v>
      </c>
      <c r="Q195" t="s">
        <v>116</v>
      </c>
      <c r="R195" t="s">
        <v>40</v>
      </c>
      <c r="S195" t="s">
        <v>45</v>
      </c>
      <c r="T195" t="s">
        <v>329</v>
      </c>
      <c r="U195" t="s">
        <v>30</v>
      </c>
      <c r="V195" s="1">
        <v>45545</v>
      </c>
      <c r="W195" s="1" t="s">
        <v>53</v>
      </c>
      <c r="X195" t="s">
        <v>32</v>
      </c>
      <c r="Y195" s="1">
        <v>45545</v>
      </c>
      <c r="Z195" s="1" t="s">
        <v>1210</v>
      </c>
      <c r="AA195" t="s">
        <v>528</v>
      </c>
      <c r="AB195" t="s">
        <v>1520</v>
      </c>
      <c r="AC195" t="str">
        <f>INDEX('DB Description'!$A$1:$B$23,MATCH(Tabela2[[#This Row],[Filial DB code]],'DB Description'!A:A,),2)</f>
        <v>Bauko</v>
      </c>
      <c r="AD195" s="9">
        <f>Tabela2[[#This Row],[Issue2]]-Tabela2[[#This Row],[Failure2]]</f>
        <v>18</v>
      </c>
      <c r="AE195" t="str">
        <f t="shared" si="34"/>
        <v>FY2024</v>
      </c>
      <c r="AF195">
        <f>YEAR(Tabela2[[#This Row],[Issue2]])</f>
        <v>2024</v>
      </c>
    </row>
    <row r="196" spans="1:32" x14ac:dyDescent="0.35">
      <c r="A196" t="s">
        <v>1215</v>
      </c>
      <c r="B196" t="s">
        <v>1216</v>
      </c>
      <c r="C196" t="s">
        <v>348</v>
      </c>
      <c r="D196" t="s">
        <v>247</v>
      </c>
      <c r="E196" t="s">
        <v>1916</v>
      </c>
      <c r="F196" t="s">
        <v>323</v>
      </c>
      <c r="G196" t="s">
        <v>1217</v>
      </c>
      <c r="I196">
        <v>350</v>
      </c>
      <c r="J196" t="s">
        <v>37</v>
      </c>
      <c r="K196" s="1">
        <v>45519</v>
      </c>
      <c r="L196" s="1"/>
      <c r="M196" s="1">
        <v>44853</v>
      </c>
      <c r="N196" s="1">
        <v>44902</v>
      </c>
      <c r="O196" s="1" t="s">
        <v>224</v>
      </c>
      <c r="P196" t="s">
        <v>314</v>
      </c>
      <c r="Q196" t="s">
        <v>42</v>
      </c>
      <c r="R196" t="s">
        <v>229</v>
      </c>
      <c r="S196" t="s">
        <v>45</v>
      </c>
      <c r="U196" t="s">
        <v>38</v>
      </c>
      <c r="V196" s="1">
        <v>45546</v>
      </c>
      <c r="W196" s="1" t="s">
        <v>61</v>
      </c>
      <c r="X196" t="s">
        <v>32</v>
      </c>
      <c r="Y196" s="1">
        <v>45546</v>
      </c>
      <c r="AA196" t="s">
        <v>1095</v>
      </c>
      <c r="AB196" t="s">
        <v>1631</v>
      </c>
      <c r="AC196" t="str">
        <f>INDEX('DB Description'!$A$1:$B$23,MATCH(Tabela2[[#This Row],[Filial DB code]],'DB Description'!A:A,),2)</f>
        <v>VAMOS (2131F)</v>
      </c>
      <c r="AD196" s="9">
        <f>Tabela2[[#This Row],[Issue2]]-Tabela2[[#This Row],[Failure2]]</f>
        <v>27</v>
      </c>
      <c r="AE196" t="str">
        <f t="shared" si="34"/>
        <v>FY2024</v>
      </c>
      <c r="AF196">
        <f>YEAR(Tabela2[[#This Row],[Issue2]])</f>
        <v>2024</v>
      </c>
    </row>
    <row r="197" spans="1:32" x14ac:dyDescent="0.35">
      <c r="A197" t="s">
        <v>1218</v>
      </c>
      <c r="B197" t="s">
        <v>1219</v>
      </c>
      <c r="C197" t="s">
        <v>1135</v>
      </c>
      <c r="D197" t="s">
        <v>1136</v>
      </c>
      <c r="E197" t="s">
        <v>1938</v>
      </c>
      <c r="F197" t="s">
        <v>1939</v>
      </c>
      <c r="G197" t="s">
        <v>1220</v>
      </c>
      <c r="I197">
        <v>62</v>
      </c>
      <c r="J197" t="s">
        <v>332</v>
      </c>
      <c r="K197" s="1">
        <v>45532</v>
      </c>
      <c r="L197" s="1">
        <v>45538</v>
      </c>
      <c r="M197" s="1">
        <v>45411</v>
      </c>
      <c r="N197" s="1">
        <v>45491</v>
      </c>
      <c r="O197" s="1" t="s">
        <v>1221</v>
      </c>
      <c r="P197" t="s">
        <v>325</v>
      </c>
      <c r="Q197" t="s">
        <v>42</v>
      </c>
      <c r="R197" t="s">
        <v>70</v>
      </c>
      <c r="S197" t="s">
        <v>45</v>
      </c>
      <c r="T197" t="s">
        <v>329</v>
      </c>
      <c r="U197" t="s">
        <v>30</v>
      </c>
      <c r="V197" s="1">
        <v>45546</v>
      </c>
      <c r="W197" s="1" t="s">
        <v>46</v>
      </c>
      <c r="X197" t="s">
        <v>32</v>
      </c>
      <c r="Y197" s="1">
        <v>45546</v>
      </c>
      <c r="Z197" s="1" t="s">
        <v>1222</v>
      </c>
      <c r="AA197" t="s">
        <v>543</v>
      </c>
      <c r="AB197" t="s">
        <v>1518</v>
      </c>
      <c r="AC197" t="str">
        <f>INDEX('DB Description'!$A$1:$B$23,MATCH(Tabela2[[#This Row],[Filial DB code]],'DB Description'!A:A,),2)</f>
        <v xml:space="preserve">Vianmaq </v>
      </c>
      <c r="AD197" s="9">
        <f>Tabela2[[#This Row],[Issue2]]-Tabela2[[#This Row],[Failure2]]</f>
        <v>14</v>
      </c>
      <c r="AE197" t="str">
        <f t="shared" si="34"/>
        <v>FY2024</v>
      </c>
      <c r="AF197">
        <f>YEAR(Tabela2[[#This Row],[Issue2]])</f>
        <v>2024</v>
      </c>
    </row>
    <row r="198" spans="1:32" x14ac:dyDescent="0.35">
      <c r="A198" t="s">
        <v>1229</v>
      </c>
      <c r="B198" t="s">
        <v>1230</v>
      </c>
      <c r="C198" t="s">
        <v>348</v>
      </c>
      <c r="D198" t="s">
        <v>96</v>
      </c>
      <c r="E198" t="s">
        <v>1866</v>
      </c>
      <c r="F198" t="s">
        <v>67</v>
      </c>
      <c r="G198" t="s">
        <v>1231</v>
      </c>
      <c r="I198">
        <v>1115</v>
      </c>
      <c r="J198" t="s">
        <v>37</v>
      </c>
      <c r="K198" s="1">
        <v>45537</v>
      </c>
      <c r="L198" s="1">
        <v>45540</v>
      </c>
      <c r="M198" s="1">
        <v>45267</v>
      </c>
      <c r="N198" s="1">
        <v>45358</v>
      </c>
      <c r="O198" s="1" t="s">
        <v>759</v>
      </c>
      <c r="P198" t="s">
        <v>1232</v>
      </c>
      <c r="Q198" t="s">
        <v>204</v>
      </c>
      <c r="R198" t="s">
        <v>50</v>
      </c>
      <c r="S198" t="s">
        <v>45</v>
      </c>
      <c r="U198" t="s">
        <v>38</v>
      </c>
      <c r="V198" s="1">
        <v>45548</v>
      </c>
      <c r="W198" s="1" t="s">
        <v>46</v>
      </c>
      <c r="X198" t="s">
        <v>32</v>
      </c>
      <c r="Y198" s="1">
        <v>45548</v>
      </c>
      <c r="Z198" s="1" t="s">
        <v>1233</v>
      </c>
      <c r="AA198" t="s">
        <v>543</v>
      </c>
      <c r="AB198" t="s">
        <v>1518</v>
      </c>
      <c r="AC198" t="str">
        <f>INDEX('DB Description'!$A$1:$B$23,MATCH(Tabela2[[#This Row],[Filial DB code]],'DB Description'!A:A,),2)</f>
        <v xml:space="preserve">Vianmaq </v>
      </c>
      <c r="AD198" s="9">
        <f>Tabela2[[#This Row],[Issue2]]-Tabela2[[#This Row],[Failure2]]</f>
        <v>11</v>
      </c>
      <c r="AE198" t="str">
        <f t="shared" ref="AE198:AE204" si="35">"FY"&amp;IF(MONTH(Y198)&gt;=4,YEAR(Y198),YEAR(Y198)-1)</f>
        <v>FY2024</v>
      </c>
      <c r="AF198">
        <f>YEAR(Tabela2[[#This Row],[Issue2]])</f>
        <v>2024</v>
      </c>
    </row>
    <row r="199" spans="1:32" x14ac:dyDescent="0.35">
      <c r="A199" t="s">
        <v>1224</v>
      </c>
      <c r="B199" t="s">
        <v>1225</v>
      </c>
      <c r="C199" t="s">
        <v>1135</v>
      </c>
      <c r="D199" t="s">
        <v>1226</v>
      </c>
      <c r="E199" t="s">
        <v>1873</v>
      </c>
      <c r="F199" t="s">
        <v>1887</v>
      </c>
      <c r="G199" t="s">
        <v>1072</v>
      </c>
      <c r="I199">
        <v>11</v>
      </c>
      <c r="J199" t="s">
        <v>37</v>
      </c>
      <c r="K199" s="1">
        <v>45527</v>
      </c>
      <c r="L199" s="1">
        <v>45527</v>
      </c>
      <c r="M199" s="1">
        <v>45440</v>
      </c>
      <c r="N199" s="1">
        <v>45524</v>
      </c>
      <c r="O199" s="1" t="s">
        <v>635</v>
      </c>
      <c r="P199" t="s">
        <v>1227</v>
      </c>
      <c r="Q199" t="s">
        <v>94</v>
      </c>
      <c r="R199" t="s">
        <v>50</v>
      </c>
      <c r="S199" t="s">
        <v>45</v>
      </c>
      <c r="U199" t="s">
        <v>38</v>
      </c>
      <c r="V199" s="1">
        <v>45548</v>
      </c>
      <c r="W199" s="1" t="s">
        <v>46</v>
      </c>
      <c r="X199" t="s">
        <v>32</v>
      </c>
      <c r="Y199" s="1">
        <v>45548</v>
      </c>
      <c r="Z199" s="1" t="s">
        <v>1228</v>
      </c>
      <c r="AA199" t="s">
        <v>543</v>
      </c>
      <c r="AB199" t="s">
        <v>1518</v>
      </c>
      <c r="AC199" t="str">
        <f>INDEX('DB Description'!$A$1:$B$23,MATCH(Tabela2[[#This Row],[Filial DB code]],'DB Description'!A:A,),2)</f>
        <v xml:space="preserve">Vianmaq </v>
      </c>
      <c r="AD199" s="9">
        <f>Tabela2[[#This Row],[Issue2]]-Tabela2[[#This Row],[Failure2]]</f>
        <v>21</v>
      </c>
      <c r="AE199" t="str">
        <f t="shared" si="35"/>
        <v>FY2024</v>
      </c>
      <c r="AF199">
        <f>YEAR(Tabela2[[#This Row],[Issue2]])</f>
        <v>2024</v>
      </c>
    </row>
    <row r="200" spans="1:32" x14ac:dyDescent="0.35">
      <c r="A200" t="s">
        <v>1234</v>
      </c>
      <c r="B200" t="s">
        <v>1235</v>
      </c>
      <c r="C200" t="s">
        <v>348</v>
      </c>
      <c r="D200" t="s">
        <v>177</v>
      </c>
      <c r="E200" s="4" t="s">
        <v>1862</v>
      </c>
      <c r="F200" t="s">
        <v>1926</v>
      </c>
      <c r="G200" t="s">
        <v>1236</v>
      </c>
      <c r="I200">
        <v>2344</v>
      </c>
      <c r="J200" t="s">
        <v>28</v>
      </c>
      <c r="K200" s="1">
        <v>45541</v>
      </c>
      <c r="L200" s="1"/>
      <c r="M200" s="1">
        <v>44762</v>
      </c>
      <c r="N200" s="1">
        <v>44797</v>
      </c>
      <c r="O200" s="1" t="s">
        <v>624</v>
      </c>
      <c r="P200" t="s">
        <v>1237</v>
      </c>
      <c r="Q200" t="s">
        <v>258</v>
      </c>
      <c r="R200" t="s">
        <v>50</v>
      </c>
      <c r="S200" t="s">
        <v>45</v>
      </c>
      <c r="T200" t="s">
        <v>334</v>
      </c>
      <c r="U200" t="s">
        <v>30</v>
      </c>
      <c r="V200" s="1">
        <v>45552</v>
      </c>
      <c r="W200" s="1" t="s">
        <v>53</v>
      </c>
      <c r="X200" t="s">
        <v>32</v>
      </c>
      <c r="Y200" s="1">
        <v>45552</v>
      </c>
      <c r="AA200" t="s">
        <v>749</v>
      </c>
      <c r="AB200" t="s">
        <v>1512</v>
      </c>
      <c r="AC200" t="str">
        <f>INDEX('DB Description'!$A$1:$B$23,MATCH(Tabela2[[#This Row],[Filial DB code]],'DB Description'!A:A,),2)</f>
        <v>Bauko</v>
      </c>
      <c r="AD200" s="9">
        <f>Tabela2[[#This Row],[Issue2]]-Tabela2[[#This Row],[Failure2]]</f>
        <v>11</v>
      </c>
      <c r="AE200" t="str">
        <f t="shared" si="35"/>
        <v>FY2024</v>
      </c>
      <c r="AF200">
        <f>YEAR(Tabela2[[#This Row],[Issue2]])</f>
        <v>2024</v>
      </c>
    </row>
    <row r="201" spans="1:32" x14ac:dyDescent="0.35">
      <c r="A201" t="s">
        <v>1238</v>
      </c>
      <c r="B201" t="s">
        <v>1239</v>
      </c>
      <c r="C201" t="s">
        <v>348</v>
      </c>
      <c r="D201" t="s">
        <v>1240</v>
      </c>
      <c r="E201" t="s">
        <v>1864</v>
      </c>
      <c r="F201" t="s">
        <v>1863</v>
      </c>
      <c r="I201">
        <v>698</v>
      </c>
      <c r="J201" t="s">
        <v>37</v>
      </c>
      <c r="K201" s="1">
        <v>45541</v>
      </c>
      <c r="L201" s="1">
        <v>45545</v>
      </c>
      <c r="M201" s="1">
        <v>45272</v>
      </c>
      <c r="N201" s="1">
        <v>45397</v>
      </c>
      <c r="O201" s="1" t="s">
        <v>308</v>
      </c>
      <c r="P201" t="s">
        <v>130</v>
      </c>
      <c r="Q201" t="s">
        <v>155</v>
      </c>
      <c r="R201" t="s">
        <v>229</v>
      </c>
      <c r="S201" t="s">
        <v>45</v>
      </c>
      <c r="U201" t="s">
        <v>38</v>
      </c>
      <c r="V201" s="1">
        <v>45554</v>
      </c>
      <c r="W201" s="1" t="s">
        <v>61</v>
      </c>
      <c r="X201" t="s">
        <v>32</v>
      </c>
      <c r="Y201" s="1">
        <v>45554</v>
      </c>
      <c r="AA201" t="s">
        <v>1095</v>
      </c>
      <c r="AB201" t="s">
        <v>1631</v>
      </c>
      <c r="AC201" t="str">
        <f>INDEX('DB Description'!$A$1:$B$23,MATCH(Tabela2[[#This Row],[Filial DB code]],'DB Description'!A:A,),2)</f>
        <v>VAMOS (2131F)</v>
      </c>
      <c r="AD201" s="9">
        <f>Tabela2[[#This Row],[Issue2]]-Tabela2[[#This Row],[Failure2]]</f>
        <v>13</v>
      </c>
      <c r="AE201" t="str">
        <f t="shared" si="35"/>
        <v>FY2024</v>
      </c>
      <c r="AF201">
        <f>YEAR(Tabela2[[#This Row],[Issue2]])</f>
        <v>2024</v>
      </c>
    </row>
    <row r="202" spans="1:32" x14ac:dyDescent="0.35">
      <c r="A202" t="s">
        <v>1241</v>
      </c>
      <c r="B202" t="s">
        <v>1242</v>
      </c>
      <c r="C202" t="s">
        <v>348</v>
      </c>
      <c r="D202" t="s">
        <v>1243</v>
      </c>
      <c r="E202" t="s">
        <v>1853</v>
      </c>
      <c r="F202" t="s">
        <v>1927</v>
      </c>
      <c r="G202" t="s">
        <v>1244</v>
      </c>
      <c r="I202">
        <v>20</v>
      </c>
      <c r="J202" t="s">
        <v>37</v>
      </c>
      <c r="K202" s="1">
        <v>45561</v>
      </c>
      <c r="L202" s="1"/>
      <c r="M202" s="1">
        <v>45544</v>
      </c>
      <c r="N202" s="1" t="s">
        <v>1192</v>
      </c>
      <c r="O202" s="1" t="s">
        <v>295</v>
      </c>
      <c r="P202" t="s">
        <v>703</v>
      </c>
      <c r="Q202" t="s">
        <v>100</v>
      </c>
      <c r="R202" t="s">
        <v>299</v>
      </c>
      <c r="S202" t="s">
        <v>45</v>
      </c>
      <c r="U202" t="s">
        <v>38</v>
      </c>
      <c r="V202" s="1">
        <v>45561</v>
      </c>
      <c r="W202" s="1" t="s">
        <v>53</v>
      </c>
      <c r="X202" t="s">
        <v>32</v>
      </c>
      <c r="Y202" s="1">
        <v>45561</v>
      </c>
      <c r="AA202" t="s">
        <v>749</v>
      </c>
      <c r="AB202" t="s">
        <v>1512</v>
      </c>
      <c r="AC202" t="str">
        <f>INDEX('DB Description'!$A$1:$B$23,MATCH(Tabela2[[#This Row],[Filial DB code]],'DB Description'!A:A,),2)</f>
        <v>Bauko</v>
      </c>
      <c r="AD202" s="9">
        <f>Tabela2[[#This Row],[Issue2]]-Tabela2[[#This Row],[Failure2]]</f>
        <v>0</v>
      </c>
      <c r="AE202" t="str">
        <f t="shared" si="35"/>
        <v>FY2024</v>
      </c>
      <c r="AF202">
        <f>YEAR(Tabela2[[#This Row],[Issue2]])</f>
        <v>2024</v>
      </c>
    </row>
    <row r="203" spans="1:32" x14ac:dyDescent="0.35">
      <c r="A203" t="s">
        <v>1249</v>
      </c>
      <c r="B203" t="s">
        <v>1250</v>
      </c>
      <c r="C203" t="s">
        <v>348</v>
      </c>
      <c r="D203" t="s">
        <v>161</v>
      </c>
      <c r="E203" t="s">
        <v>1928</v>
      </c>
      <c r="F203" t="s">
        <v>248</v>
      </c>
      <c r="I203">
        <v>85</v>
      </c>
      <c r="J203" t="s">
        <v>332</v>
      </c>
      <c r="K203" s="1">
        <v>45553</v>
      </c>
      <c r="L203" s="1">
        <v>45553</v>
      </c>
      <c r="M203" s="1">
        <v>45439</v>
      </c>
      <c r="N203" s="1" t="s">
        <v>1192</v>
      </c>
      <c r="O203" s="1" t="s">
        <v>665</v>
      </c>
      <c r="P203" t="s">
        <v>62</v>
      </c>
      <c r="Q203" t="s">
        <v>63</v>
      </c>
      <c r="R203" t="s">
        <v>299</v>
      </c>
      <c r="S203" t="s">
        <v>45</v>
      </c>
      <c r="T203" t="s">
        <v>329</v>
      </c>
      <c r="U203" t="s">
        <v>30</v>
      </c>
      <c r="V203" s="1">
        <v>45562</v>
      </c>
      <c r="W203" s="1" t="s">
        <v>53</v>
      </c>
      <c r="X203" t="s">
        <v>32</v>
      </c>
      <c r="Y203" s="1">
        <v>45562</v>
      </c>
      <c r="AA203" t="s">
        <v>705</v>
      </c>
      <c r="AB203" t="s">
        <v>243</v>
      </c>
      <c r="AC203" t="str">
        <f>INDEX('DB Description'!$A$1:$B$23,MATCH(Tabela2[[#This Row],[Filial DB code]],'DB Description'!A:A,),2)</f>
        <v>Bauko</v>
      </c>
      <c r="AD203" s="9">
        <f>Tabela2[[#This Row],[Issue2]]-Tabela2[[#This Row],[Failure2]]</f>
        <v>9</v>
      </c>
      <c r="AE203" t="str">
        <f t="shared" si="35"/>
        <v>FY2024</v>
      </c>
      <c r="AF203">
        <f>YEAR(Tabela2[[#This Row],[Issue2]])</f>
        <v>2024</v>
      </c>
    </row>
    <row r="204" spans="1:32" x14ac:dyDescent="0.35">
      <c r="A204" t="s">
        <v>1245</v>
      </c>
      <c r="B204" t="s">
        <v>1246</v>
      </c>
      <c r="C204" t="s">
        <v>348</v>
      </c>
      <c r="D204" t="s">
        <v>161</v>
      </c>
      <c r="E204" t="s">
        <v>1895</v>
      </c>
      <c r="F204" t="s">
        <v>1929</v>
      </c>
      <c r="G204" t="s">
        <v>1247</v>
      </c>
      <c r="I204">
        <v>85</v>
      </c>
      <c r="J204" t="s">
        <v>332</v>
      </c>
      <c r="K204" s="1">
        <v>45553</v>
      </c>
      <c r="L204" s="1">
        <v>45553</v>
      </c>
      <c r="M204" s="1">
        <v>45439</v>
      </c>
      <c r="N204" s="1" t="s">
        <v>1192</v>
      </c>
      <c r="O204" s="1" t="s">
        <v>1248</v>
      </c>
      <c r="P204" t="s">
        <v>142</v>
      </c>
      <c r="Q204" t="s">
        <v>106</v>
      </c>
      <c r="R204" t="s">
        <v>304</v>
      </c>
      <c r="S204" t="s">
        <v>45</v>
      </c>
      <c r="T204" t="s">
        <v>329</v>
      </c>
      <c r="U204" t="s">
        <v>30</v>
      </c>
      <c r="V204" s="1">
        <v>45562</v>
      </c>
      <c r="W204" s="1" t="s">
        <v>53</v>
      </c>
      <c r="X204" t="s">
        <v>32</v>
      </c>
      <c r="Y204" s="1">
        <v>45562</v>
      </c>
      <c r="AA204" t="s">
        <v>705</v>
      </c>
      <c r="AB204" t="s">
        <v>243</v>
      </c>
      <c r="AC204" t="str">
        <f>INDEX('DB Description'!$A$1:$B$23,MATCH(Tabela2[[#This Row],[Filial DB code]],'DB Description'!A:A,),2)</f>
        <v>Bauko</v>
      </c>
      <c r="AD204" s="9">
        <f>Tabela2[[#This Row],[Issue2]]-Tabela2[[#This Row],[Failure2]]</f>
        <v>9</v>
      </c>
      <c r="AE204" t="str">
        <f t="shared" si="35"/>
        <v>FY2024</v>
      </c>
      <c r="AF204">
        <f>YEAR(Tabela2[[#This Row],[Issue2]])</f>
        <v>2024</v>
      </c>
    </row>
    <row r="205" spans="1:32" x14ac:dyDescent="0.35">
      <c r="A205" t="s">
        <v>1251</v>
      </c>
      <c r="B205" t="s">
        <v>1252</v>
      </c>
      <c r="C205" t="s">
        <v>348</v>
      </c>
      <c r="D205" t="s">
        <v>358</v>
      </c>
      <c r="E205" t="s">
        <v>1928</v>
      </c>
      <c r="F205" t="s">
        <v>248</v>
      </c>
      <c r="G205" t="s">
        <v>955</v>
      </c>
      <c r="I205">
        <v>8</v>
      </c>
      <c r="J205" t="s">
        <v>332</v>
      </c>
      <c r="K205" s="1">
        <v>45560</v>
      </c>
      <c r="L205" s="1"/>
      <c r="M205" s="1">
        <v>45517</v>
      </c>
      <c r="N205" s="1" t="s">
        <v>1192</v>
      </c>
      <c r="O205" s="1" t="s">
        <v>665</v>
      </c>
      <c r="P205" t="s">
        <v>856</v>
      </c>
      <c r="Q205" t="s">
        <v>63</v>
      </c>
      <c r="R205" t="s">
        <v>50</v>
      </c>
      <c r="S205" t="s">
        <v>45</v>
      </c>
      <c r="T205" t="s">
        <v>329</v>
      </c>
      <c r="U205" t="s">
        <v>30</v>
      </c>
      <c r="V205" s="1">
        <v>45566</v>
      </c>
      <c r="W205" s="1" t="s">
        <v>64</v>
      </c>
      <c r="X205" t="s">
        <v>32</v>
      </c>
      <c r="Y205" s="1">
        <v>45566</v>
      </c>
      <c r="Z205" s="1" t="s">
        <v>1253</v>
      </c>
      <c r="AA205" t="s">
        <v>807</v>
      </c>
      <c r="AB205" t="s">
        <v>1514</v>
      </c>
      <c r="AC205" t="str">
        <f>INDEX('DB Description'!$A$1:$B$23,MATCH(Tabela2[[#This Row],[Filial DB code]],'DB Description'!A:A,),2)</f>
        <v>Mason</v>
      </c>
      <c r="AD205" s="9">
        <f>Tabela2[[#This Row],[Issue2]]-Tabela2[[#This Row],[Failure2]]</f>
        <v>6</v>
      </c>
      <c r="AE205" t="str">
        <f t="shared" ref="AE205:AE211" si="36">"FY"&amp;IF(MONTH(Y205)&gt;=4,YEAR(Y205),YEAR(Y205)-1)</f>
        <v>FY2024</v>
      </c>
      <c r="AF205">
        <f>YEAR(Tabela2[[#This Row],[Issue2]])</f>
        <v>2024</v>
      </c>
    </row>
    <row r="206" spans="1:32" x14ac:dyDescent="0.35">
      <c r="A206" t="s">
        <v>1254</v>
      </c>
      <c r="B206" t="s">
        <v>1255</v>
      </c>
      <c r="C206" t="s">
        <v>348</v>
      </c>
      <c r="D206" t="s">
        <v>1256</v>
      </c>
      <c r="E206" t="s">
        <v>1930</v>
      </c>
      <c r="F206" t="s">
        <v>1931</v>
      </c>
      <c r="I206">
        <v>1409</v>
      </c>
      <c r="J206" t="s">
        <v>28</v>
      </c>
      <c r="K206" s="1">
        <v>45562</v>
      </c>
      <c r="L206" s="1"/>
      <c r="M206" s="1">
        <v>45217</v>
      </c>
      <c r="N206" s="1">
        <v>45299</v>
      </c>
      <c r="O206" s="1" t="s">
        <v>1082</v>
      </c>
      <c r="P206" t="s">
        <v>533</v>
      </c>
      <c r="Q206" t="s">
        <v>86</v>
      </c>
      <c r="R206" t="s">
        <v>162</v>
      </c>
      <c r="S206" t="s">
        <v>45</v>
      </c>
      <c r="T206" t="s">
        <v>334</v>
      </c>
      <c r="U206" t="s">
        <v>30</v>
      </c>
      <c r="V206" s="1">
        <v>45568</v>
      </c>
      <c r="W206" s="1" t="s">
        <v>64</v>
      </c>
      <c r="X206" t="s">
        <v>32</v>
      </c>
      <c r="Y206" s="1">
        <v>45568</v>
      </c>
      <c r="Z206" s="1" t="s">
        <v>1257</v>
      </c>
      <c r="AA206" t="s">
        <v>807</v>
      </c>
      <c r="AB206" t="s">
        <v>1514</v>
      </c>
      <c r="AC206" t="str">
        <f>INDEX('DB Description'!$A$1:$B$23,MATCH(Tabela2[[#This Row],[Filial DB code]],'DB Description'!A:A,),2)</f>
        <v>Mason</v>
      </c>
      <c r="AD206" s="9">
        <f>Tabela2[[#This Row],[Issue2]]-Tabela2[[#This Row],[Failure2]]</f>
        <v>6</v>
      </c>
      <c r="AE206" t="str">
        <f t="shared" si="36"/>
        <v>FY2024</v>
      </c>
      <c r="AF206">
        <f>YEAR(Tabela2[[#This Row],[Issue2]])</f>
        <v>2024</v>
      </c>
    </row>
    <row r="207" spans="1:32" x14ac:dyDescent="0.35">
      <c r="A207" t="s">
        <v>1258</v>
      </c>
      <c r="B207" t="s">
        <v>1209</v>
      </c>
      <c r="C207" t="s">
        <v>348</v>
      </c>
      <c r="D207" t="s">
        <v>1259</v>
      </c>
      <c r="E207" t="s">
        <v>1847</v>
      </c>
      <c r="F207" t="s">
        <v>1883</v>
      </c>
      <c r="I207">
        <v>694</v>
      </c>
      <c r="J207" t="s">
        <v>37</v>
      </c>
      <c r="K207" s="1">
        <v>45567</v>
      </c>
      <c r="L207" s="1"/>
      <c r="M207" s="1">
        <v>45433</v>
      </c>
      <c r="N207" s="1">
        <v>45484</v>
      </c>
      <c r="O207" s="1" t="s">
        <v>244</v>
      </c>
      <c r="P207" t="s">
        <v>245</v>
      </c>
      <c r="Q207" t="s">
        <v>78</v>
      </c>
      <c r="R207" t="s">
        <v>40</v>
      </c>
      <c r="S207" t="s">
        <v>45</v>
      </c>
      <c r="U207" t="s">
        <v>38</v>
      </c>
      <c r="V207" s="1">
        <v>45567</v>
      </c>
      <c r="W207" s="1" t="s">
        <v>53</v>
      </c>
      <c r="X207" t="s">
        <v>32</v>
      </c>
      <c r="Y207" s="1">
        <v>45568</v>
      </c>
      <c r="AA207" t="s">
        <v>528</v>
      </c>
      <c r="AB207" t="s">
        <v>1520</v>
      </c>
      <c r="AC207" t="str">
        <f>INDEX('DB Description'!$A$1:$B$23,MATCH(Tabela2[[#This Row],[Filial DB code]],'DB Description'!A:A,),2)</f>
        <v>Bauko</v>
      </c>
      <c r="AD207" s="9">
        <f>Tabela2[[#This Row],[Issue2]]-Tabela2[[#This Row],[Failure2]]</f>
        <v>1</v>
      </c>
      <c r="AE207" t="str">
        <f t="shared" si="36"/>
        <v>FY2024</v>
      </c>
      <c r="AF207">
        <f>YEAR(Tabela2[[#This Row],[Issue2]])</f>
        <v>2024</v>
      </c>
    </row>
    <row r="208" spans="1:32" x14ac:dyDescent="0.35">
      <c r="A208" t="s">
        <v>1260</v>
      </c>
      <c r="B208" t="s">
        <v>1261</v>
      </c>
      <c r="C208" t="s">
        <v>348</v>
      </c>
      <c r="D208" t="s">
        <v>926</v>
      </c>
      <c r="E208" t="s">
        <v>1916</v>
      </c>
      <c r="F208" t="s">
        <v>323</v>
      </c>
      <c r="G208" t="s">
        <v>1262</v>
      </c>
      <c r="I208">
        <v>1962</v>
      </c>
      <c r="J208" t="s">
        <v>28</v>
      </c>
      <c r="K208" s="1">
        <v>45554</v>
      </c>
      <c r="L208" s="1">
        <v>45555</v>
      </c>
      <c r="M208" s="1">
        <v>44889</v>
      </c>
      <c r="N208" s="1">
        <v>45231</v>
      </c>
      <c r="O208" s="1" t="s">
        <v>224</v>
      </c>
      <c r="P208" t="s">
        <v>29</v>
      </c>
      <c r="Q208" t="s">
        <v>204</v>
      </c>
      <c r="R208" t="s">
        <v>229</v>
      </c>
      <c r="S208" t="s">
        <v>45</v>
      </c>
      <c r="T208" t="s">
        <v>334</v>
      </c>
      <c r="U208" t="s">
        <v>30</v>
      </c>
      <c r="V208" s="1">
        <v>45573</v>
      </c>
      <c r="W208" s="1" t="s">
        <v>64</v>
      </c>
      <c r="X208" t="s">
        <v>32</v>
      </c>
      <c r="Y208" s="1">
        <v>45573</v>
      </c>
      <c r="AA208" t="s">
        <v>344</v>
      </c>
      <c r="AB208" t="s">
        <v>1522</v>
      </c>
      <c r="AC208" t="str">
        <f>INDEX('DB Description'!$A$1:$B$23,MATCH(Tabela2[[#This Row],[Filial DB code]],'DB Description'!A:A,),2)</f>
        <v>Mason</v>
      </c>
      <c r="AD208" s="9">
        <f>Tabela2[[#This Row],[Issue2]]-Tabela2[[#This Row],[Failure2]]</f>
        <v>19</v>
      </c>
      <c r="AE208" t="str">
        <f t="shared" si="36"/>
        <v>FY2024</v>
      </c>
      <c r="AF208">
        <f>YEAR(Tabela2[[#This Row],[Issue2]])</f>
        <v>2024</v>
      </c>
    </row>
    <row r="209" spans="1:32" x14ac:dyDescent="0.35">
      <c r="A209" t="s">
        <v>1263</v>
      </c>
      <c r="B209" t="s">
        <v>1264</v>
      </c>
      <c r="C209" t="s">
        <v>348</v>
      </c>
      <c r="D209" t="s">
        <v>113</v>
      </c>
      <c r="E209" t="s">
        <v>1846</v>
      </c>
      <c r="F209" t="s">
        <v>1854</v>
      </c>
      <c r="I209">
        <v>370</v>
      </c>
      <c r="J209" t="s">
        <v>28</v>
      </c>
      <c r="K209" s="1">
        <v>45561</v>
      </c>
      <c r="L209" s="1"/>
      <c r="M209" s="1">
        <v>45470</v>
      </c>
      <c r="N209" s="1">
        <v>45504</v>
      </c>
      <c r="O209" s="1" t="s">
        <v>194</v>
      </c>
      <c r="P209" t="s">
        <v>1214</v>
      </c>
      <c r="Q209" t="s">
        <v>116</v>
      </c>
      <c r="R209" t="s">
        <v>43</v>
      </c>
      <c r="S209" t="s">
        <v>45</v>
      </c>
      <c r="T209" t="s">
        <v>334</v>
      </c>
      <c r="U209" t="s">
        <v>30</v>
      </c>
      <c r="V209" s="1">
        <v>45561</v>
      </c>
      <c r="W209" s="1" t="s">
        <v>53</v>
      </c>
      <c r="X209" t="s">
        <v>32</v>
      </c>
      <c r="Y209" s="1">
        <v>45574</v>
      </c>
      <c r="AA209" t="s">
        <v>528</v>
      </c>
      <c r="AB209" t="s">
        <v>1520</v>
      </c>
      <c r="AC209" t="str">
        <f>INDEX('DB Description'!$A$1:$B$23,MATCH(Tabela2[[#This Row],[Filial DB code]],'DB Description'!A:A,),2)</f>
        <v>Bauko</v>
      </c>
      <c r="AD209" s="9">
        <f>Tabela2[[#This Row],[Issue2]]-Tabela2[[#This Row],[Failure2]]</f>
        <v>13</v>
      </c>
      <c r="AE209" t="str">
        <f t="shared" si="36"/>
        <v>FY2024</v>
      </c>
      <c r="AF209">
        <f>YEAR(Tabela2[[#This Row],[Issue2]])</f>
        <v>2024</v>
      </c>
    </row>
    <row r="210" spans="1:32" x14ac:dyDescent="0.35">
      <c r="A210" t="s">
        <v>1265</v>
      </c>
      <c r="B210" t="s">
        <v>1266</v>
      </c>
      <c r="C210" t="s">
        <v>348</v>
      </c>
      <c r="D210" t="s">
        <v>163</v>
      </c>
      <c r="E210" t="s">
        <v>1895</v>
      </c>
      <c r="F210" t="s">
        <v>1896</v>
      </c>
      <c r="G210" t="s">
        <v>1267</v>
      </c>
      <c r="I210">
        <v>7</v>
      </c>
      <c r="J210" t="s">
        <v>332</v>
      </c>
      <c r="K210" s="1">
        <v>45547</v>
      </c>
      <c r="L210" s="1"/>
      <c r="M210" s="1">
        <v>45525</v>
      </c>
      <c r="N210" s="1" t="s">
        <v>1192</v>
      </c>
      <c r="O210" s="1" t="s">
        <v>1268</v>
      </c>
      <c r="P210" t="s">
        <v>1269</v>
      </c>
      <c r="Q210" t="s">
        <v>116</v>
      </c>
      <c r="R210" t="s">
        <v>304</v>
      </c>
      <c r="S210" t="s">
        <v>45</v>
      </c>
      <c r="T210" t="s">
        <v>329</v>
      </c>
      <c r="U210" t="s">
        <v>30</v>
      </c>
      <c r="V210" s="1">
        <v>45575</v>
      </c>
      <c r="W210" s="1" t="s">
        <v>53</v>
      </c>
      <c r="X210" t="s">
        <v>32</v>
      </c>
      <c r="Y210" s="1">
        <v>45575</v>
      </c>
      <c r="AA210" t="s">
        <v>749</v>
      </c>
      <c r="AB210" t="s">
        <v>1512</v>
      </c>
      <c r="AC210" t="str">
        <f>INDEX('DB Description'!$A$1:$B$23,MATCH(Tabela2[[#This Row],[Filial DB code]],'DB Description'!A:A,),2)</f>
        <v>Bauko</v>
      </c>
      <c r="AD210" s="9">
        <f>Tabela2[[#This Row],[Issue2]]-Tabela2[[#This Row],[Failure2]]</f>
        <v>28</v>
      </c>
      <c r="AE210" t="str">
        <f t="shared" si="36"/>
        <v>FY2024</v>
      </c>
      <c r="AF210">
        <f>YEAR(Tabela2[[#This Row],[Issue2]])</f>
        <v>2024</v>
      </c>
    </row>
    <row r="211" spans="1:32" x14ac:dyDescent="0.35">
      <c r="A211" t="s">
        <v>1270</v>
      </c>
      <c r="B211" t="s">
        <v>1271</v>
      </c>
      <c r="C211" t="s">
        <v>348</v>
      </c>
      <c r="D211" t="s">
        <v>1189</v>
      </c>
      <c r="E211" t="s">
        <v>1873</v>
      </c>
      <c r="F211" t="s">
        <v>1897</v>
      </c>
      <c r="G211" t="s">
        <v>1272</v>
      </c>
      <c r="I211">
        <v>863</v>
      </c>
      <c r="J211" t="s">
        <v>28</v>
      </c>
      <c r="K211" s="1">
        <v>45559</v>
      </c>
      <c r="L211" s="1">
        <v>45560</v>
      </c>
      <c r="M211" s="1">
        <v>45405</v>
      </c>
      <c r="N211" s="1">
        <v>45418</v>
      </c>
      <c r="O211" s="1" t="s">
        <v>838</v>
      </c>
      <c r="P211" t="s">
        <v>1273</v>
      </c>
      <c r="Q211" t="s">
        <v>94</v>
      </c>
      <c r="R211" t="s">
        <v>50</v>
      </c>
      <c r="S211" t="s">
        <v>45</v>
      </c>
      <c r="T211" t="s">
        <v>334</v>
      </c>
      <c r="U211" t="s">
        <v>30</v>
      </c>
      <c r="V211" s="1">
        <v>45582</v>
      </c>
      <c r="W211" s="1" t="s">
        <v>64</v>
      </c>
      <c r="X211" t="s">
        <v>32</v>
      </c>
      <c r="Y211" s="1">
        <v>45582</v>
      </c>
      <c r="AA211" t="s">
        <v>344</v>
      </c>
      <c r="AB211" t="s">
        <v>1522</v>
      </c>
      <c r="AC211" t="str">
        <f>INDEX('DB Description'!$A$1:$B$23,MATCH(Tabela2[[#This Row],[Filial DB code]],'DB Description'!A:A,),2)</f>
        <v>Mason</v>
      </c>
      <c r="AD211" s="9">
        <f>Tabela2[[#This Row],[Issue2]]-Tabela2[[#This Row],[Failure2]]</f>
        <v>23</v>
      </c>
      <c r="AE211" t="str">
        <f t="shared" si="36"/>
        <v>FY2024</v>
      </c>
      <c r="AF211">
        <f>YEAR(Tabela2[[#This Row],[Issue2]])</f>
        <v>2024</v>
      </c>
    </row>
    <row r="212" spans="1:32" x14ac:dyDescent="0.35">
      <c r="A212" t="s">
        <v>1274</v>
      </c>
      <c r="B212" t="s">
        <v>1275</v>
      </c>
      <c r="C212" t="s">
        <v>1135</v>
      </c>
      <c r="D212" t="s">
        <v>1136</v>
      </c>
      <c r="E212" t="s">
        <v>1912</v>
      </c>
      <c r="F212" t="s">
        <v>1913</v>
      </c>
      <c r="G212" t="s">
        <v>1276</v>
      </c>
      <c r="I212">
        <v>82</v>
      </c>
      <c r="J212" t="s">
        <v>28</v>
      </c>
      <c r="K212" s="1">
        <v>45579</v>
      </c>
      <c r="L212" s="1"/>
      <c r="M212" s="1">
        <v>45411</v>
      </c>
      <c r="N212" s="1">
        <v>45491</v>
      </c>
      <c r="O212" s="1" t="s">
        <v>322</v>
      </c>
      <c r="P212" t="s">
        <v>1277</v>
      </c>
      <c r="Q212" t="s">
        <v>204</v>
      </c>
      <c r="R212" t="s">
        <v>193</v>
      </c>
      <c r="S212" t="s">
        <v>45</v>
      </c>
      <c r="T212" t="s">
        <v>334</v>
      </c>
      <c r="U212" t="s">
        <v>30</v>
      </c>
      <c r="V212" s="1">
        <v>45586</v>
      </c>
      <c r="W212" s="1" t="s">
        <v>46</v>
      </c>
      <c r="X212" t="s">
        <v>32</v>
      </c>
      <c r="Y212" s="1">
        <v>45586</v>
      </c>
      <c r="Z212" s="1" t="s">
        <v>1278</v>
      </c>
      <c r="AA212" t="s">
        <v>543</v>
      </c>
      <c r="AB212" t="s">
        <v>1518</v>
      </c>
      <c r="AC212" t="str">
        <f>INDEX('DB Description'!$A$1:$B$23,MATCH(Tabela2[[#This Row],[Filial DB code]],'DB Description'!A:A,),2)</f>
        <v xml:space="preserve">Vianmaq </v>
      </c>
      <c r="AD212" s="9">
        <f>Tabela2[[#This Row],[Issue2]]-Tabela2[[#This Row],[Failure2]]</f>
        <v>7</v>
      </c>
      <c r="AE212" t="str">
        <f t="shared" ref="AE212:AE218" si="37">"FY"&amp;IF(MONTH(Y212)&gt;=4,YEAR(Y212),YEAR(Y212)-1)</f>
        <v>FY2024</v>
      </c>
      <c r="AF212">
        <f>YEAR(Tabela2[[#This Row],[Issue2]])</f>
        <v>2024</v>
      </c>
    </row>
    <row r="213" spans="1:32" x14ac:dyDescent="0.35">
      <c r="A213" t="s">
        <v>1279</v>
      </c>
      <c r="B213" t="s">
        <v>1280</v>
      </c>
      <c r="C213" t="s">
        <v>348</v>
      </c>
      <c r="D213" t="s">
        <v>1281</v>
      </c>
      <c r="E213" t="s">
        <v>1856</v>
      </c>
      <c r="F213" t="s">
        <v>1917</v>
      </c>
      <c r="I213">
        <v>3</v>
      </c>
      <c r="J213" t="s">
        <v>28</v>
      </c>
      <c r="K213" s="1">
        <v>45583</v>
      </c>
      <c r="L213" s="1"/>
      <c r="M213" s="1">
        <v>45539</v>
      </c>
      <c r="O213" s="1" t="s">
        <v>480</v>
      </c>
      <c r="P213" t="s">
        <v>1282</v>
      </c>
      <c r="Q213" t="s">
        <v>122</v>
      </c>
      <c r="R213" t="s">
        <v>193</v>
      </c>
      <c r="S213" t="s">
        <v>45</v>
      </c>
      <c r="T213" t="s">
        <v>334</v>
      </c>
      <c r="U213" t="s">
        <v>30</v>
      </c>
      <c r="V213" s="1">
        <v>45587</v>
      </c>
      <c r="W213" s="1" t="s">
        <v>61</v>
      </c>
      <c r="X213" t="s">
        <v>32</v>
      </c>
      <c r="Y213" s="1">
        <v>45587</v>
      </c>
      <c r="AA213" t="s">
        <v>1095</v>
      </c>
      <c r="AB213" t="s">
        <v>1631</v>
      </c>
      <c r="AC213" t="str">
        <f>INDEX('DB Description'!$A$1:$B$23,MATCH(Tabela2[[#This Row],[Filial DB code]],'DB Description'!A:A,),2)</f>
        <v>VAMOS (2131F)</v>
      </c>
      <c r="AD213" s="9">
        <f>Tabela2[[#This Row],[Issue2]]-Tabela2[[#This Row],[Failure2]]</f>
        <v>4</v>
      </c>
      <c r="AE213" t="str">
        <f t="shared" si="37"/>
        <v>FY2024</v>
      </c>
      <c r="AF213">
        <f>YEAR(Tabela2[[#This Row],[Issue2]])</f>
        <v>2024</v>
      </c>
    </row>
    <row r="214" spans="1:32" x14ac:dyDescent="0.35">
      <c r="A214" t="s">
        <v>1287</v>
      </c>
      <c r="B214" t="s">
        <v>1288</v>
      </c>
      <c r="C214" t="s">
        <v>1135</v>
      </c>
      <c r="D214" t="s">
        <v>129</v>
      </c>
      <c r="E214" t="s">
        <v>1856</v>
      </c>
      <c r="F214" t="s">
        <v>1917</v>
      </c>
      <c r="I214">
        <v>5</v>
      </c>
      <c r="J214" t="s">
        <v>28</v>
      </c>
      <c r="K214" s="1">
        <v>45581</v>
      </c>
      <c r="L214" s="1"/>
      <c r="M214" s="1">
        <v>45471</v>
      </c>
      <c r="O214" s="1" t="s">
        <v>480</v>
      </c>
      <c r="P214" t="s">
        <v>1289</v>
      </c>
      <c r="Q214" t="s">
        <v>122</v>
      </c>
      <c r="R214" t="s">
        <v>193</v>
      </c>
      <c r="S214" t="s">
        <v>45</v>
      </c>
      <c r="T214" t="s">
        <v>334</v>
      </c>
      <c r="U214" t="s">
        <v>30</v>
      </c>
      <c r="V214" s="1">
        <v>45587</v>
      </c>
      <c r="W214" s="1" t="s">
        <v>61</v>
      </c>
      <c r="X214" t="s">
        <v>32</v>
      </c>
      <c r="Y214" s="1">
        <v>45587</v>
      </c>
      <c r="AA214" t="s">
        <v>1095</v>
      </c>
      <c r="AB214" t="s">
        <v>1631</v>
      </c>
      <c r="AC214" t="str">
        <f>INDEX('DB Description'!$A$1:$B$23,MATCH(Tabela2[[#This Row],[Filial DB code]],'DB Description'!A:A,),2)</f>
        <v>VAMOS (2131F)</v>
      </c>
      <c r="AD214" s="9">
        <f>Tabela2[[#This Row],[Issue2]]-Tabela2[[#This Row],[Failure2]]</f>
        <v>6</v>
      </c>
      <c r="AE214" t="str">
        <f t="shared" si="37"/>
        <v>FY2024</v>
      </c>
      <c r="AF214">
        <f>YEAR(Tabela2[[#This Row],[Issue2]])</f>
        <v>2024</v>
      </c>
    </row>
    <row r="215" spans="1:32" x14ac:dyDescent="0.35">
      <c r="A215" t="s">
        <v>1283</v>
      </c>
      <c r="B215" t="s">
        <v>1284</v>
      </c>
      <c r="C215" t="s">
        <v>1135</v>
      </c>
      <c r="D215" t="s">
        <v>1285</v>
      </c>
      <c r="E215" t="s">
        <v>1916</v>
      </c>
      <c r="F215" t="s">
        <v>323</v>
      </c>
      <c r="G215" t="s">
        <v>1286</v>
      </c>
      <c r="I215">
        <v>1054</v>
      </c>
      <c r="J215" t="s">
        <v>28</v>
      </c>
      <c r="K215" s="1">
        <v>45581</v>
      </c>
      <c r="L215" s="1"/>
      <c r="M215" s="1">
        <v>45406</v>
      </c>
      <c r="O215" s="1" t="s">
        <v>224</v>
      </c>
      <c r="P215" t="s">
        <v>1193</v>
      </c>
      <c r="Q215" t="s">
        <v>78</v>
      </c>
      <c r="R215" t="s">
        <v>304</v>
      </c>
      <c r="S215" t="s">
        <v>45</v>
      </c>
      <c r="T215" t="s">
        <v>334</v>
      </c>
      <c r="U215" t="s">
        <v>30</v>
      </c>
      <c r="V215" s="1">
        <v>45587</v>
      </c>
      <c r="W215" s="1" t="s">
        <v>64</v>
      </c>
      <c r="X215" t="s">
        <v>32</v>
      </c>
      <c r="Y215" s="1">
        <v>45587</v>
      </c>
      <c r="AA215" t="s">
        <v>807</v>
      </c>
      <c r="AB215" t="s">
        <v>1514</v>
      </c>
      <c r="AC215" t="str">
        <f>INDEX('DB Description'!$A$1:$B$23,MATCH(Tabela2[[#This Row],[Filial DB code]],'DB Description'!A:A,),2)</f>
        <v>Mason</v>
      </c>
      <c r="AD215" s="9">
        <f>Tabela2[[#This Row],[Issue2]]-Tabela2[[#This Row],[Failure2]]</f>
        <v>6</v>
      </c>
      <c r="AE215" t="str">
        <f t="shared" si="37"/>
        <v>FY2024</v>
      </c>
      <c r="AF215">
        <f>YEAR(Tabela2[[#This Row],[Issue2]])</f>
        <v>2024</v>
      </c>
    </row>
    <row r="216" spans="1:32" x14ac:dyDescent="0.35">
      <c r="A216" t="s">
        <v>1290</v>
      </c>
      <c r="B216" t="s">
        <v>1291</v>
      </c>
      <c r="C216" t="s">
        <v>348</v>
      </c>
      <c r="D216" t="s">
        <v>160</v>
      </c>
      <c r="E216" t="s">
        <v>1856</v>
      </c>
      <c r="F216" t="s">
        <v>1915</v>
      </c>
      <c r="G216" t="s">
        <v>1292</v>
      </c>
      <c r="I216">
        <v>4</v>
      </c>
      <c r="J216" t="s">
        <v>332</v>
      </c>
      <c r="K216" s="1">
        <v>45588</v>
      </c>
      <c r="L216" s="1"/>
      <c r="M216" s="1">
        <v>45548</v>
      </c>
      <c r="O216" s="1" t="s">
        <v>1293</v>
      </c>
      <c r="P216" t="s">
        <v>1294</v>
      </c>
      <c r="Q216" t="s">
        <v>204</v>
      </c>
      <c r="R216" t="s">
        <v>229</v>
      </c>
      <c r="S216" t="s">
        <v>45</v>
      </c>
      <c r="T216" t="s">
        <v>329</v>
      </c>
      <c r="U216" t="s">
        <v>30</v>
      </c>
      <c r="V216" s="1">
        <v>45588</v>
      </c>
      <c r="W216" s="1" t="s">
        <v>53</v>
      </c>
      <c r="X216" t="s">
        <v>32</v>
      </c>
      <c r="Y216" s="1">
        <v>45588</v>
      </c>
      <c r="AA216" t="s">
        <v>528</v>
      </c>
      <c r="AB216" t="s">
        <v>1520</v>
      </c>
      <c r="AC216" t="str">
        <f>INDEX('DB Description'!$A$1:$B$23,MATCH(Tabela2[[#This Row],[Filial DB code]],'DB Description'!A:A,),2)</f>
        <v>Bauko</v>
      </c>
      <c r="AD216" s="9">
        <f>Tabela2[[#This Row],[Issue2]]-Tabela2[[#This Row],[Failure2]]</f>
        <v>0</v>
      </c>
      <c r="AE216" t="str">
        <f t="shared" si="37"/>
        <v>FY2024</v>
      </c>
      <c r="AF216">
        <f>YEAR(Tabela2[[#This Row],[Issue2]])</f>
        <v>2024</v>
      </c>
    </row>
    <row r="217" spans="1:32" x14ac:dyDescent="0.35">
      <c r="A217" t="s">
        <v>1295</v>
      </c>
      <c r="B217" t="s">
        <v>870</v>
      </c>
      <c r="C217" t="s">
        <v>348</v>
      </c>
      <c r="D217" t="s">
        <v>112</v>
      </c>
      <c r="E217" t="s">
        <v>1847</v>
      </c>
      <c r="F217" t="s">
        <v>1883</v>
      </c>
      <c r="I217">
        <v>488</v>
      </c>
      <c r="J217" t="s">
        <v>154</v>
      </c>
      <c r="K217" s="1">
        <v>45524</v>
      </c>
      <c r="L217" s="1">
        <v>45593</v>
      </c>
      <c r="M217" s="1">
        <v>45273</v>
      </c>
      <c r="N217" s="1">
        <v>45364</v>
      </c>
      <c r="O217" s="1" t="s">
        <v>244</v>
      </c>
      <c r="P217" t="s">
        <v>245</v>
      </c>
      <c r="Q217" t="s">
        <v>78</v>
      </c>
      <c r="R217" t="s">
        <v>50</v>
      </c>
      <c r="S217" t="s">
        <v>45</v>
      </c>
      <c r="T217" t="s">
        <v>415</v>
      </c>
      <c r="U217" t="s">
        <v>409</v>
      </c>
      <c r="V217" s="1">
        <v>45593</v>
      </c>
      <c r="W217" s="1" t="s">
        <v>53</v>
      </c>
      <c r="X217" t="s">
        <v>32</v>
      </c>
      <c r="Y217" s="1">
        <v>45593</v>
      </c>
      <c r="AA217" t="s">
        <v>528</v>
      </c>
      <c r="AB217" t="s">
        <v>1520</v>
      </c>
      <c r="AC217" t="str">
        <f>INDEX('DB Description'!$A$1:$B$23,MATCH(Tabela2[[#This Row],[Filial DB code]],'DB Description'!A:A,),2)</f>
        <v>Bauko</v>
      </c>
      <c r="AD217" s="9">
        <f>Tabela2[[#This Row],[Issue2]]-Tabela2[[#This Row],[Failure2]]</f>
        <v>69</v>
      </c>
      <c r="AE217" t="str">
        <f t="shared" si="37"/>
        <v>FY2024</v>
      </c>
      <c r="AF217">
        <f>YEAR(Tabela2[[#This Row],[Issue2]])</f>
        <v>2024</v>
      </c>
    </row>
    <row r="218" spans="1:32" x14ac:dyDescent="0.35">
      <c r="A218" t="s">
        <v>1299</v>
      </c>
      <c r="B218" t="s">
        <v>1300</v>
      </c>
      <c r="C218" t="s">
        <v>1135</v>
      </c>
      <c r="D218" t="s">
        <v>105</v>
      </c>
      <c r="E218" t="s">
        <v>1846</v>
      </c>
      <c r="F218" t="s">
        <v>1854</v>
      </c>
      <c r="G218" t="s">
        <v>1301</v>
      </c>
      <c r="I218">
        <v>401</v>
      </c>
      <c r="J218" t="s">
        <v>28</v>
      </c>
      <c r="K218" s="1">
        <v>45581</v>
      </c>
      <c r="L218" s="1"/>
      <c r="M218" s="1">
        <v>45440</v>
      </c>
      <c r="N218" s="1">
        <v>45481</v>
      </c>
      <c r="O218" s="1" t="s">
        <v>750</v>
      </c>
      <c r="P218" t="s">
        <v>133</v>
      </c>
      <c r="Q218" t="s">
        <v>204</v>
      </c>
      <c r="R218" t="s">
        <v>193</v>
      </c>
      <c r="S218" t="s">
        <v>45</v>
      </c>
      <c r="T218" t="s">
        <v>334</v>
      </c>
      <c r="U218" t="s">
        <v>30</v>
      </c>
      <c r="V218" s="1">
        <v>45597</v>
      </c>
      <c r="W218" s="1" t="s">
        <v>46</v>
      </c>
      <c r="X218" t="s">
        <v>32</v>
      </c>
      <c r="Y218" s="1">
        <v>45597</v>
      </c>
      <c r="Z218" s="1" t="s">
        <v>1302</v>
      </c>
      <c r="AA218" t="s">
        <v>543</v>
      </c>
      <c r="AB218" t="s">
        <v>1518</v>
      </c>
      <c r="AC218" t="str">
        <f>INDEX('DB Description'!$A$1:$B$23,MATCH(Tabela2[[#This Row],[Filial DB code]],'DB Description'!A:A,),2)</f>
        <v xml:space="preserve">Vianmaq </v>
      </c>
      <c r="AD218" s="9">
        <f>Tabela2[[#This Row],[Issue2]]-Tabela2[[#This Row],[Failure2]]</f>
        <v>16</v>
      </c>
      <c r="AE218" t="str">
        <f t="shared" si="37"/>
        <v>FY2024</v>
      </c>
      <c r="AF218">
        <f>YEAR(Tabela2[[#This Row],[Issue2]])</f>
        <v>2024</v>
      </c>
    </row>
    <row r="219" spans="1:32" x14ac:dyDescent="0.35">
      <c r="A219" t="s">
        <v>1303</v>
      </c>
      <c r="B219" t="s">
        <v>1304</v>
      </c>
      <c r="C219" t="s">
        <v>348</v>
      </c>
      <c r="D219" t="s">
        <v>163</v>
      </c>
      <c r="E219" t="s">
        <v>1912</v>
      </c>
      <c r="F219" t="s">
        <v>1913</v>
      </c>
      <c r="G219" t="s">
        <v>1305</v>
      </c>
      <c r="I219">
        <v>198</v>
      </c>
      <c r="J219" t="s">
        <v>28</v>
      </c>
      <c r="K219" s="1">
        <v>45596</v>
      </c>
      <c r="L219" s="1"/>
      <c r="M219" s="1">
        <v>45525</v>
      </c>
      <c r="O219" s="1" t="s">
        <v>521</v>
      </c>
      <c r="P219" t="s">
        <v>1306</v>
      </c>
      <c r="Q219" t="s">
        <v>65</v>
      </c>
      <c r="R219" t="s">
        <v>193</v>
      </c>
      <c r="S219" t="s">
        <v>45</v>
      </c>
      <c r="T219" t="s">
        <v>334</v>
      </c>
      <c r="U219" t="s">
        <v>30</v>
      </c>
      <c r="V219" s="1">
        <v>45601</v>
      </c>
      <c r="W219" s="1" t="s">
        <v>53</v>
      </c>
      <c r="X219" t="s">
        <v>32</v>
      </c>
      <c r="Y219" s="1">
        <v>45601</v>
      </c>
      <c r="AA219" t="s">
        <v>749</v>
      </c>
      <c r="AB219" t="s">
        <v>1512</v>
      </c>
      <c r="AC219" t="str">
        <f>INDEX('DB Description'!$A$1:$B$23,MATCH(Tabela2[[#This Row],[Filial DB code]],'DB Description'!A:A,),2)</f>
        <v>Bauko</v>
      </c>
      <c r="AD219" s="9">
        <f>Tabela2[[#This Row],[Issue2]]-Tabela2[[#This Row],[Failure2]]</f>
        <v>5</v>
      </c>
      <c r="AE219" t="str">
        <f t="shared" ref="AE219:AE223" si="38">"FY"&amp;IF(MONTH(Y219)&gt;=4,YEAR(Y219),YEAR(Y219)-1)</f>
        <v>FY2024</v>
      </c>
      <c r="AF219">
        <f>YEAR(Tabela2[[#This Row],[Issue2]])</f>
        <v>2024</v>
      </c>
    </row>
    <row r="220" spans="1:32" x14ac:dyDescent="0.35">
      <c r="A220" t="s">
        <v>1308</v>
      </c>
      <c r="B220" t="s">
        <v>1309</v>
      </c>
      <c r="C220" t="s">
        <v>348</v>
      </c>
      <c r="D220" t="s">
        <v>198</v>
      </c>
      <c r="E220" t="s">
        <v>1878</v>
      </c>
      <c r="F220" t="s">
        <v>681</v>
      </c>
      <c r="G220" t="s">
        <v>485</v>
      </c>
      <c r="I220">
        <v>3</v>
      </c>
      <c r="J220" t="s">
        <v>332</v>
      </c>
      <c r="K220" s="1">
        <v>45604</v>
      </c>
      <c r="L220" s="1"/>
      <c r="M220" s="1">
        <v>45597</v>
      </c>
      <c r="O220" s="1" t="s">
        <v>354</v>
      </c>
      <c r="P220" t="s">
        <v>355</v>
      </c>
      <c r="Q220" t="s">
        <v>58</v>
      </c>
      <c r="R220" t="s">
        <v>229</v>
      </c>
      <c r="S220" t="s">
        <v>45</v>
      </c>
      <c r="T220" t="s">
        <v>329</v>
      </c>
      <c r="U220" t="s">
        <v>30</v>
      </c>
      <c r="V220" s="1">
        <v>45608</v>
      </c>
      <c r="W220" s="1" t="s">
        <v>64</v>
      </c>
      <c r="X220" t="s">
        <v>32</v>
      </c>
      <c r="Y220" s="1">
        <v>45608</v>
      </c>
      <c r="AA220" t="s">
        <v>344</v>
      </c>
      <c r="AB220" t="s">
        <v>1522</v>
      </c>
      <c r="AC220" t="str">
        <f>INDEX('DB Description'!$A$1:$B$23,MATCH(Tabela2[[#This Row],[Filial DB code]],'DB Description'!A:A,),2)</f>
        <v>Mason</v>
      </c>
      <c r="AD220" s="9">
        <f>Tabela2[[#This Row],[Issue2]]-Tabela2[[#This Row],[Failure2]]</f>
        <v>4</v>
      </c>
      <c r="AE220" t="str">
        <f t="shared" si="38"/>
        <v>FY2024</v>
      </c>
      <c r="AF220">
        <f>YEAR(Tabela2[[#This Row],[Issue2]])</f>
        <v>2024</v>
      </c>
    </row>
    <row r="221" spans="1:32" x14ac:dyDescent="0.35">
      <c r="A221" t="s">
        <v>1310</v>
      </c>
      <c r="B221" t="s">
        <v>1311</v>
      </c>
      <c r="C221" t="s">
        <v>348</v>
      </c>
      <c r="D221" t="s">
        <v>138</v>
      </c>
      <c r="E221" t="s">
        <v>1912</v>
      </c>
      <c r="F221" t="s">
        <v>1913</v>
      </c>
      <c r="G221" t="s">
        <v>1312</v>
      </c>
      <c r="H221" t="s">
        <v>1313</v>
      </c>
      <c r="I221">
        <v>303</v>
      </c>
      <c r="J221" t="s">
        <v>37</v>
      </c>
      <c r="K221" s="1">
        <v>45583</v>
      </c>
      <c r="L221" s="1">
        <v>45587</v>
      </c>
      <c r="M221" s="1">
        <v>45502</v>
      </c>
      <c r="N221" s="1">
        <v>45548</v>
      </c>
      <c r="O221" s="1" t="s">
        <v>1314</v>
      </c>
      <c r="P221" t="s">
        <v>80</v>
      </c>
      <c r="Q221" t="s">
        <v>42</v>
      </c>
      <c r="R221" t="s">
        <v>70</v>
      </c>
      <c r="S221" t="s">
        <v>45</v>
      </c>
      <c r="U221" t="s">
        <v>38</v>
      </c>
      <c r="V221" s="1">
        <v>45610</v>
      </c>
      <c r="W221" s="1" t="s">
        <v>61</v>
      </c>
      <c r="X221" t="s">
        <v>32</v>
      </c>
      <c r="Y221" s="1">
        <v>45610</v>
      </c>
      <c r="AA221" t="s">
        <v>1095</v>
      </c>
      <c r="AB221" t="s">
        <v>1631</v>
      </c>
      <c r="AC221" t="str">
        <f>INDEX('DB Description'!$A$1:$B$23,MATCH(Tabela2[[#This Row],[Filial DB code]],'DB Description'!A:A,),2)</f>
        <v>VAMOS (2131F)</v>
      </c>
      <c r="AD221" s="9">
        <f>Tabela2[[#This Row],[Issue2]]-Tabela2[[#This Row],[Failure2]]</f>
        <v>27</v>
      </c>
      <c r="AE221" t="str">
        <f t="shared" si="38"/>
        <v>FY2024</v>
      </c>
      <c r="AF221">
        <f>YEAR(Tabela2[[#This Row],[Issue2]])</f>
        <v>2024</v>
      </c>
    </row>
    <row r="222" spans="1:32" x14ac:dyDescent="0.35">
      <c r="A222" t="s">
        <v>1315</v>
      </c>
      <c r="B222" t="s">
        <v>1316</v>
      </c>
      <c r="C222" t="s">
        <v>348</v>
      </c>
      <c r="D222" t="s">
        <v>1317</v>
      </c>
      <c r="E222" t="s">
        <v>1866</v>
      </c>
      <c r="F222" t="s">
        <v>1865</v>
      </c>
      <c r="G222" t="s">
        <v>1318</v>
      </c>
      <c r="I222">
        <v>457</v>
      </c>
      <c r="J222" t="s">
        <v>28</v>
      </c>
      <c r="K222" s="1">
        <v>45607</v>
      </c>
      <c r="L222" s="1"/>
      <c r="M222" s="1">
        <v>45471</v>
      </c>
      <c r="N222" s="1">
        <v>45505</v>
      </c>
      <c r="O222" s="1" t="s">
        <v>1319</v>
      </c>
      <c r="P222" t="s">
        <v>103</v>
      </c>
      <c r="Q222" t="s">
        <v>204</v>
      </c>
      <c r="R222" t="s">
        <v>229</v>
      </c>
      <c r="S222" t="s">
        <v>45</v>
      </c>
      <c r="T222" t="s">
        <v>334</v>
      </c>
      <c r="U222" t="s">
        <v>30</v>
      </c>
      <c r="V222" s="1">
        <v>45617</v>
      </c>
      <c r="W222" s="1" t="s">
        <v>46</v>
      </c>
      <c r="X222" t="s">
        <v>32</v>
      </c>
      <c r="Y222" s="1">
        <v>45617</v>
      </c>
      <c r="Z222" s="1" t="s">
        <v>1320</v>
      </c>
      <c r="AA222" t="s">
        <v>543</v>
      </c>
      <c r="AB222" t="s">
        <v>1518</v>
      </c>
      <c r="AC222" t="str">
        <f>INDEX('DB Description'!$A$1:$B$23,MATCH(Tabela2[[#This Row],[Filial DB code]],'DB Description'!A:A,),2)</f>
        <v xml:space="preserve">Vianmaq </v>
      </c>
      <c r="AD222" s="9">
        <f>Tabela2[[#This Row],[Issue2]]-Tabela2[[#This Row],[Failure2]]</f>
        <v>10</v>
      </c>
      <c r="AE222" t="str">
        <f t="shared" si="38"/>
        <v>FY2024</v>
      </c>
      <c r="AF222">
        <f>YEAR(Tabela2[[#This Row],[Issue2]])</f>
        <v>2024</v>
      </c>
    </row>
    <row r="223" spans="1:32" x14ac:dyDescent="0.35">
      <c r="A223" t="s">
        <v>1335</v>
      </c>
      <c r="B223" t="s">
        <v>1336</v>
      </c>
      <c r="C223" t="s">
        <v>348</v>
      </c>
      <c r="D223" t="s">
        <v>1337</v>
      </c>
      <c r="E223" t="s">
        <v>1856</v>
      </c>
      <c r="F223" t="s">
        <v>1914</v>
      </c>
      <c r="I223">
        <v>350</v>
      </c>
      <c r="J223" t="s">
        <v>47</v>
      </c>
      <c r="K223" s="1">
        <v>45607</v>
      </c>
      <c r="L223" s="1">
        <v>45609</v>
      </c>
      <c r="M223" s="1">
        <v>45492</v>
      </c>
      <c r="N223" s="1">
        <v>45509</v>
      </c>
      <c r="O223" s="1" t="s">
        <v>1338</v>
      </c>
      <c r="P223" t="s">
        <v>203</v>
      </c>
      <c r="Q223" t="s">
        <v>122</v>
      </c>
      <c r="R223" t="s">
        <v>50</v>
      </c>
      <c r="S223" t="s">
        <v>45</v>
      </c>
      <c r="T223" t="s">
        <v>329</v>
      </c>
      <c r="U223" t="s">
        <v>30</v>
      </c>
      <c r="V223" s="1">
        <v>45622</v>
      </c>
      <c r="W223" s="1" t="s">
        <v>61</v>
      </c>
      <c r="X223" t="s">
        <v>32</v>
      </c>
      <c r="Y223" s="1">
        <v>45622</v>
      </c>
      <c r="AA223" t="s">
        <v>1095</v>
      </c>
      <c r="AB223" t="s">
        <v>1631</v>
      </c>
      <c r="AC223" t="str">
        <f>INDEX('DB Description'!$A$1:$B$23,MATCH(Tabela2[[#This Row],[Filial DB code]],'DB Description'!A:A,),2)</f>
        <v>VAMOS (2131F)</v>
      </c>
      <c r="AD223" s="9">
        <f>Tabela2[[#This Row],[Issue2]]-Tabela2[[#This Row],[Failure2]]</f>
        <v>15</v>
      </c>
      <c r="AE223" t="str">
        <f t="shared" si="38"/>
        <v>FY2024</v>
      </c>
      <c r="AF223">
        <f>YEAR(Tabela2[[#This Row],[Issue2]])</f>
        <v>2024</v>
      </c>
    </row>
    <row r="224" spans="1:32" x14ac:dyDescent="0.35">
      <c r="A224" t="s">
        <v>1332</v>
      </c>
      <c r="B224" t="s">
        <v>1333</v>
      </c>
      <c r="C224" t="s">
        <v>348</v>
      </c>
      <c r="D224" t="s">
        <v>117</v>
      </c>
      <c r="E224" t="s">
        <v>1912</v>
      </c>
      <c r="F224" t="s">
        <v>1913</v>
      </c>
      <c r="I224">
        <v>494</v>
      </c>
      <c r="J224" t="s">
        <v>47</v>
      </c>
      <c r="K224" s="1">
        <v>45601</v>
      </c>
      <c r="L224" s="1">
        <v>45603</v>
      </c>
      <c r="M224" s="1">
        <v>45454</v>
      </c>
      <c r="N224" s="1">
        <v>45505</v>
      </c>
      <c r="O224" s="1" t="s">
        <v>1334</v>
      </c>
      <c r="P224" t="s">
        <v>222</v>
      </c>
      <c r="Q224" t="s">
        <v>65</v>
      </c>
      <c r="R224" t="s">
        <v>229</v>
      </c>
      <c r="S224" t="s">
        <v>45</v>
      </c>
      <c r="T224" t="s">
        <v>329</v>
      </c>
      <c r="U224" t="s">
        <v>30</v>
      </c>
      <c r="V224" s="1">
        <v>45623</v>
      </c>
      <c r="W224" s="1" t="s">
        <v>61</v>
      </c>
      <c r="X224" t="s">
        <v>32</v>
      </c>
      <c r="Y224" s="1">
        <v>45623</v>
      </c>
      <c r="AA224" t="s">
        <v>1095</v>
      </c>
      <c r="AB224" t="s">
        <v>1631</v>
      </c>
      <c r="AC224" t="str">
        <f>INDEX('DB Description'!$A$1:$B$23,MATCH(Tabela2[[#This Row],[Filial DB code]],'DB Description'!A:A,),2)</f>
        <v>VAMOS (2131F)</v>
      </c>
      <c r="AD224" s="9">
        <f>Tabela2[[#This Row],[Issue2]]-Tabela2[[#This Row],[Failure2]]</f>
        <v>22</v>
      </c>
      <c r="AE224" t="str">
        <f t="shared" ref="AE224:AE229" si="39">"FY"&amp;IF(MONTH(Y224)&gt;=4,YEAR(Y224),YEAR(Y224)-1)</f>
        <v>FY2024</v>
      </c>
      <c r="AF224">
        <f>YEAR(Tabela2[[#This Row],[Issue2]])</f>
        <v>2024</v>
      </c>
    </row>
    <row r="225" spans="1:32" x14ac:dyDescent="0.35">
      <c r="A225" t="s">
        <v>1328</v>
      </c>
      <c r="B225" t="s">
        <v>1329</v>
      </c>
      <c r="C225" t="s">
        <v>348</v>
      </c>
      <c r="D225" t="s">
        <v>926</v>
      </c>
      <c r="E225" t="s">
        <v>1877</v>
      </c>
      <c r="F225" t="s">
        <v>1911</v>
      </c>
      <c r="G225" t="s">
        <v>1330</v>
      </c>
      <c r="I225">
        <v>2455</v>
      </c>
      <c r="J225" t="s">
        <v>47</v>
      </c>
      <c r="K225" s="1">
        <v>45621</v>
      </c>
      <c r="L225" s="1"/>
      <c r="M225" s="1">
        <v>44889</v>
      </c>
      <c r="N225" s="1">
        <v>45231</v>
      </c>
      <c r="O225" s="1" t="s">
        <v>1331</v>
      </c>
      <c r="P225" t="s">
        <v>184</v>
      </c>
      <c r="Q225" t="s">
        <v>60</v>
      </c>
      <c r="R225" t="s">
        <v>304</v>
      </c>
      <c r="S225" t="s">
        <v>45</v>
      </c>
      <c r="T225" t="s">
        <v>329</v>
      </c>
      <c r="U225" t="s">
        <v>30</v>
      </c>
      <c r="V225" s="1">
        <v>45624</v>
      </c>
      <c r="W225" s="1" t="s">
        <v>64</v>
      </c>
      <c r="X225" t="s">
        <v>32</v>
      </c>
      <c r="Y225" s="1">
        <v>45624</v>
      </c>
      <c r="AA225" t="s">
        <v>344</v>
      </c>
      <c r="AB225" t="s">
        <v>1522</v>
      </c>
      <c r="AC225" t="str">
        <f>INDEX('DB Description'!$A$1:$B$23,MATCH(Tabela2[[#This Row],[Filial DB code]],'DB Description'!A:A,),2)</f>
        <v>Mason</v>
      </c>
      <c r="AD225" s="9">
        <f>Tabela2[[#This Row],[Issue2]]-Tabela2[[#This Row],[Failure2]]</f>
        <v>3</v>
      </c>
      <c r="AE225" t="str">
        <f t="shared" si="39"/>
        <v>FY2024</v>
      </c>
      <c r="AF225">
        <f>YEAR(Tabela2[[#This Row],[Issue2]])</f>
        <v>2024</v>
      </c>
    </row>
    <row r="226" spans="1:32" x14ac:dyDescent="0.35">
      <c r="A226" t="s">
        <v>1325</v>
      </c>
      <c r="B226" t="s">
        <v>1326</v>
      </c>
      <c r="C226" t="s">
        <v>348</v>
      </c>
      <c r="D226" t="s">
        <v>911</v>
      </c>
      <c r="E226" t="s">
        <v>1846</v>
      </c>
      <c r="F226" t="s">
        <v>1854</v>
      </c>
      <c r="I226">
        <v>2075</v>
      </c>
      <c r="J226" t="s">
        <v>47</v>
      </c>
      <c r="K226" s="1">
        <v>45615</v>
      </c>
      <c r="L226" s="1"/>
      <c r="M226" s="1">
        <v>45145</v>
      </c>
      <c r="N226" s="1">
        <v>45202</v>
      </c>
      <c r="O226" s="1" t="s">
        <v>1327</v>
      </c>
      <c r="P226" t="s">
        <v>1214</v>
      </c>
      <c r="Q226" t="s">
        <v>116</v>
      </c>
      <c r="R226" t="s">
        <v>70</v>
      </c>
      <c r="S226" t="s">
        <v>45</v>
      </c>
      <c r="T226" t="s">
        <v>329</v>
      </c>
      <c r="U226" t="s">
        <v>30</v>
      </c>
      <c r="V226" s="1">
        <v>45625</v>
      </c>
      <c r="W226" s="1" t="s">
        <v>53</v>
      </c>
      <c r="X226" t="s">
        <v>32</v>
      </c>
      <c r="Y226" s="1">
        <v>45625</v>
      </c>
      <c r="Z226" s="1" t="s">
        <v>916</v>
      </c>
      <c r="AA226" t="s">
        <v>528</v>
      </c>
      <c r="AB226" t="s">
        <v>1520</v>
      </c>
      <c r="AC226" t="str">
        <f>INDEX('DB Description'!$A$1:$B$23,MATCH(Tabela2[[#This Row],[Filial DB code]],'DB Description'!A:A,),2)</f>
        <v>Bauko</v>
      </c>
      <c r="AD226" s="9">
        <f>Tabela2[[#This Row],[Issue2]]-Tabela2[[#This Row],[Failure2]]</f>
        <v>10</v>
      </c>
      <c r="AE226" t="str">
        <f t="shared" si="39"/>
        <v>FY2024</v>
      </c>
      <c r="AF226">
        <f>YEAR(Tabela2[[#This Row],[Issue2]])</f>
        <v>2024</v>
      </c>
    </row>
    <row r="227" spans="1:32" x14ac:dyDescent="0.35">
      <c r="A227" t="s">
        <v>1321</v>
      </c>
      <c r="B227" t="s">
        <v>1322</v>
      </c>
      <c r="C227" t="s">
        <v>348</v>
      </c>
      <c r="D227" t="s">
        <v>1323</v>
      </c>
      <c r="E227" t="s">
        <v>1847</v>
      </c>
      <c r="F227" t="s">
        <v>1883</v>
      </c>
      <c r="G227" t="s">
        <v>1324</v>
      </c>
      <c r="I227">
        <v>505</v>
      </c>
      <c r="J227" t="s">
        <v>47</v>
      </c>
      <c r="K227" s="1">
        <v>45625</v>
      </c>
      <c r="L227" s="1"/>
      <c r="M227" s="1">
        <v>45245</v>
      </c>
      <c r="N227" s="1">
        <v>45527</v>
      </c>
      <c r="O227" s="1" t="s">
        <v>244</v>
      </c>
      <c r="P227" t="s">
        <v>245</v>
      </c>
      <c r="Q227" t="s">
        <v>42</v>
      </c>
      <c r="R227" t="s">
        <v>33</v>
      </c>
      <c r="S227" t="s">
        <v>45</v>
      </c>
      <c r="T227" t="s">
        <v>329</v>
      </c>
      <c r="U227" t="s">
        <v>30</v>
      </c>
      <c r="V227" s="1">
        <v>45625</v>
      </c>
      <c r="W227" s="1" t="s">
        <v>53</v>
      </c>
      <c r="X227" t="s">
        <v>32</v>
      </c>
      <c r="Y227" s="1">
        <v>45625</v>
      </c>
      <c r="AA227" t="s">
        <v>528</v>
      </c>
      <c r="AB227" t="s">
        <v>1520</v>
      </c>
      <c r="AC227" t="str">
        <f>INDEX('DB Description'!$A$1:$B$23,MATCH(Tabela2[[#This Row],[Filial DB code]],'DB Description'!A:A,),2)</f>
        <v>Bauko</v>
      </c>
      <c r="AD227" s="9">
        <f>Tabela2[[#This Row],[Issue2]]-Tabela2[[#This Row],[Failure2]]</f>
        <v>0</v>
      </c>
      <c r="AE227" t="str">
        <f t="shared" si="39"/>
        <v>FY2024</v>
      </c>
      <c r="AF227">
        <f>YEAR(Tabela2[[#This Row],[Issue2]])</f>
        <v>2024</v>
      </c>
    </row>
    <row r="228" spans="1:32" x14ac:dyDescent="0.35">
      <c r="A228" s="4" t="s">
        <v>1349</v>
      </c>
      <c r="B228" t="s">
        <v>1350</v>
      </c>
      <c r="C228" t="s">
        <v>348</v>
      </c>
      <c r="D228" s="4" t="s">
        <v>161</v>
      </c>
      <c r="E228" s="4" t="s">
        <v>1877</v>
      </c>
      <c r="F228" s="4"/>
      <c r="I228">
        <v>12</v>
      </c>
      <c r="J228" t="s">
        <v>28</v>
      </c>
      <c r="K228" s="1">
        <v>45632</v>
      </c>
      <c r="L228" s="1"/>
      <c r="M228" s="1">
        <v>45439</v>
      </c>
      <c r="N228" s="1">
        <v>45531</v>
      </c>
      <c r="O228" s="1" t="s">
        <v>309</v>
      </c>
      <c r="P228" t="s">
        <v>309</v>
      </c>
      <c r="Q228" t="s">
        <v>60</v>
      </c>
      <c r="R228" t="s">
        <v>40</v>
      </c>
      <c r="S228" t="s">
        <v>45</v>
      </c>
      <c r="T228" t="s">
        <v>334</v>
      </c>
      <c r="U228" t="s">
        <v>30</v>
      </c>
      <c r="V228" s="1">
        <v>45632</v>
      </c>
      <c r="W228" s="1" t="s">
        <v>53</v>
      </c>
      <c r="X228" t="s">
        <v>32</v>
      </c>
      <c r="Y228" s="1">
        <v>45636</v>
      </c>
      <c r="AA228" t="s">
        <v>528</v>
      </c>
      <c r="AB228" t="s">
        <v>1520</v>
      </c>
      <c r="AC228" t="str">
        <f>INDEX('DB Description'!$A$1:$B$23,MATCH(Tabela2[[#This Row],[Filial DB code]],'DB Description'!A:A,),2)</f>
        <v>Bauko</v>
      </c>
      <c r="AD228" s="9">
        <f>Tabela2[[#This Row],[Issue2]]-Tabela2[[#This Row],[Failure2]]</f>
        <v>4</v>
      </c>
      <c r="AE228" t="str">
        <f t="shared" si="39"/>
        <v>FY2024</v>
      </c>
      <c r="AF228">
        <f>YEAR(Tabela2[[#This Row],[Issue2]])</f>
        <v>2024</v>
      </c>
    </row>
    <row r="229" spans="1:32" x14ac:dyDescent="0.35">
      <c r="A229" t="s">
        <v>1343</v>
      </c>
      <c r="B229" t="s">
        <v>1344</v>
      </c>
      <c r="C229" t="s">
        <v>1135</v>
      </c>
      <c r="D229" t="s">
        <v>283</v>
      </c>
      <c r="E229" t="s">
        <v>1866</v>
      </c>
      <c r="F229" t="s">
        <v>1865</v>
      </c>
      <c r="G229" t="s">
        <v>1345</v>
      </c>
      <c r="I229">
        <v>578</v>
      </c>
      <c r="J229" t="s">
        <v>28</v>
      </c>
      <c r="K229" s="1">
        <v>45632</v>
      </c>
      <c r="L229" s="1">
        <v>45635</v>
      </c>
      <c r="M229" s="1">
        <v>45440</v>
      </c>
      <c r="N229" s="1">
        <v>45538</v>
      </c>
      <c r="O229" s="1" t="s">
        <v>480</v>
      </c>
      <c r="P229" t="s">
        <v>1346</v>
      </c>
      <c r="Q229" t="s">
        <v>42</v>
      </c>
      <c r="R229" t="s">
        <v>70</v>
      </c>
      <c r="S229" t="s">
        <v>45</v>
      </c>
      <c r="T229" t="s">
        <v>334</v>
      </c>
      <c r="U229" t="s">
        <v>30</v>
      </c>
      <c r="V229" s="1">
        <v>45637</v>
      </c>
      <c r="W229" s="1" t="s">
        <v>61</v>
      </c>
      <c r="X229" t="s">
        <v>32</v>
      </c>
      <c r="Y229" s="1">
        <v>45637</v>
      </c>
      <c r="AA229" t="s">
        <v>1095</v>
      </c>
      <c r="AB229" t="s">
        <v>1631</v>
      </c>
      <c r="AC229" t="str">
        <f>INDEX('DB Description'!$A$1:$B$23,MATCH(Tabela2[[#This Row],[Filial DB code]],'DB Description'!A:A,),2)</f>
        <v>VAMOS (2131F)</v>
      </c>
      <c r="AD229" s="9">
        <f>Tabela2[[#This Row],[Issue2]]-Tabela2[[#This Row],[Failure2]]</f>
        <v>5</v>
      </c>
      <c r="AE229" t="str">
        <f t="shared" si="39"/>
        <v>FY2024</v>
      </c>
      <c r="AF229">
        <f>YEAR(Tabela2[[#This Row],[Issue2]])</f>
        <v>2024</v>
      </c>
    </row>
    <row r="230" spans="1:32" x14ac:dyDescent="0.35">
      <c r="A230" t="s">
        <v>1340</v>
      </c>
      <c r="B230" t="s">
        <v>1341</v>
      </c>
      <c r="C230" t="s">
        <v>348</v>
      </c>
      <c r="D230" t="s">
        <v>138</v>
      </c>
      <c r="E230" t="s">
        <v>1878</v>
      </c>
      <c r="F230" t="s">
        <v>681</v>
      </c>
      <c r="G230" t="s">
        <v>1342</v>
      </c>
      <c r="I230">
        <v>750</v>
      </c>
      <c r="J230" t="s">
        <v>28</v>
      </c>
      <c r="K230" s="1">
        <v>45638</v>
      </c>
      <c r="L230" s="1"/>
      <c r="M230" s="1">
        <v>45502</v>
      </c>
      <c r="N230" s="1">
        <v>45548</v>
      </c>
      <c r="O230" s="1" t="s">
        <v>480</v>
      </c>
      <c r="P230" t="s">
        <v>480</v>
      </c>
      <c r="Q230" t="s">
        <v>204</v>
      </c>
      <c r="R230" t="s">
        <v>229</v>
      </c>
      <c r="S230" t="s">
        <v>45</v>
      </c>
      <c r="T230" t="s">
        <v>334</v>
      </c>
      <c r="U230" t="s">
        <v>30</v>
      </c>
      <c r="V230" s="1">
        <v>45643</v>
      </c>
      <c r="W230" s="1" t="s">
        <v>61</v>
      </c>
      <c r="X230" t="s">
        <v>32</v>
      </c>
      <c r="Y230" s="1">
        <v>45643</v>
      </c>
      <c r="AA230" t="s">
        <v>1095</v>
      </c>
      <c r="AB230" t="s">
        <v>1631</v>
      </c>
      <c r="AC230" t="str">
        <f>INDEX('DB Description'!$A$1:$B$23,MATCH(Tabela2[[#This Row],[Filial DB code]],'DB Description'!A:A,),2)</f>
        <v>VAMOS (2131F)</v>
      </c>
      <c r="AD230" s="9">
        <f>Tabela2[[#This Row],[Issue2]]-Tabela2[[#This Row],[Failure2]]</f>
        <v>5</v>
      </c>
      <c r="AE230" t="str">
        <f t="shared" ref="AE230:AE231" si="40">"FY"&amp;IF(MONTH(Y230)&gt;=4,YEAR(Y230),YEAR(Y230)-1)</f>
        <v>FY2024</v>
      </c>
      <c r="AF230">
        <f>YEAR(Tabela2[[#This Row],[Issue2]])</f>
        <v>2024</v>
      </c>
    </row>
    <row r="231" spans="1:32" x14ac:dyDescent="0.35">
      <c r="A231" t="s">
        <v>1355</v>
      </c>
      <c r="B231" t="s">
        <v>1356</v>
      </c>
      <c r="C231" t="s">
        <v>348</v>
      </c>
      <c r="D231" t="s">
        <v>926</v>
      </c>
      <c r="E231" t="s">
        <v>1895</v>
      </c>
      <c r="F231" t="s">
        <v>1910</v>
      </c>
      <c r="G231" t="s">
        <v>1357</v>
      </c>
      <c r="I231">
        <v>2547</v>
      </c>
      <c r="J231" t="s">
        <v>28</v>
      </c>
      <c r="K231" s="1">
        <v>45624</v>
      </c>
      <c r="L231" s="1">
        <v>45632</v>
      </c>
      <c r="M231" s="1">
        <v>44889</v>
      </c>
      <c r="N231" s="1">
        <v>45231</v>
      </c>
      <c r="O231" s="1" t="s">
        <v>281</v>
      </c>
      <c r="P231" t="s">
        <v>1358</v>
      </c>
      <c r="Q231" t="s">
        <v>60</v>
      </c>
      <c r="R231" t="s">
        <v>229</v>
      </c>
      <c r="S231" t="s">
        <v>45</v>
      </c>
      <c r="T231" t="s">
        <v>334</v>
      </c>
      <c r="U231" t="s">
        <v>30</v>
      </c>
      <c r="V231" s="1">
        <v>45652</v>
      </c>
      <c r="W231" s="1" t="s">
        <v>64</v>
      </c>
      <c r="X231" t="s">
        <v>32</v>
      </c>
      <c r="Y231" s="1">
        <v>45652</v>
      </c>
      <c r="AA231" t="s">
        <v>344</v>
      </c>
      <c r="AB231" t="s">
        <v>1522</v>
      </c>
      <c r="AC231" t="str">
        <f>INDEX('DB Description'!$A$1:$B$23,MATCH(Tabela2[[#This Row],[Filial DB code]],'DB Description'!A:A,),2)</f>
        <v>Mason</v>
      </c>
      <c r="AD231" s="9">
        <f>Tabela2[[#This Row],[Issue2]]-Tabela2[[#This Row],[Failure2]]</f>
        <v>28</v>
      </c>
      <c r="AE231" t="str">
        <f t="shared" si="40"/>
        <v>FY2024</v>
      </c>
      <c r="AF231">
        <f>YEAR(Tabela2[[#This Row],[Issue2]])</f>
        <v>2024</v>
      </c>
    </row>
    <row r="232" spans="1:32" x14ac:dyDescent="0.35">
      <c r="A232" t="s">
        <v>1351</v>
      </c>
      <c r="B232" t="s">
        <v>1352</v>
      </c>
      <c r="C232" t="s">
        <v>348</v>
      </c>
      <c r="D232" t="s">
        <v>558</v>
      </c>
      <c r="E232" t="s">
        <v>1866</v>
      </c>
      <c r="F232" t="s">
        <v>1865</v>
      </c>
      <c r="G232" t="s">
        <v>1353</v>
      </c>
      <c r="I232">
        <v>653</v>
      </c>
      <c r="J232" t="s">
        <v>28</v>
      </c>
      <c r="K232" s="1">
        <v>45646</v>
      </c>
      <c r="L232" s="1">
        <v>45649</v>
      </c>
      <c r="M232" s="1">
        <v>45434</v>
      </c>
      <c r="N232" s="1">
        <v>45468</v>
      </c>
      <c r="O232" s="1" t="s">
        <v>1319</v>
      </c>
      <c r="P232" t="s">
        <v>103</v>
      </c>
      <c r="Q232" t="s">
        <v>204</v>
      </c>
      <c r="R232" t="s">
        <v>193</v>
      </c>
      <c r="S232" t="s">
        <v>45</v>
      </c>
      <c r="T232" t="s">
        <v>334</v>
      </c>
      <c r="U232" t="s">
        <v>30</v>
      </c>
      <c r="V232" s="1">
        <v>45656</v>
      </c>
      <c r="W232" s="1" t="s">
        <v>46</v>
      </c>
      <c r="X232" t="s">
        <v>32</v>
      </c>
      <c r="Y232" s="1">
        <v>45656</v>
      </c>
      <c r="Z232" s="1" t="s">
        <v>1354</v>
      </c>
      <c r="AA232" t="s">
        <v>543</v>
      </c>
      <c r="AB232" t="s">
        <v>1518</v>
      </c>
      <c r="AC232" t="str">
        <f>INDEX('DB Description'!$A$1:$B$23,MATCH(Tabela2[[#This Row],[Filial DB code]],'DB Description'!A:A,),2)</f>
        <v xml:space="preserve">Vianmaq </v>
      </c>
      <c r="AD232" s="9">
        <f>Tabela2[[#This Row],[Issue2]]-Tabela2[[#This Row],[Failure2]]</f>
        <v>10</v>
      </c>
      <c r="AE232" t="str">
        <f>"FY"&amp;IF(MONTH(Y232)&gt;=4,YEAR(Y232),YEAR(Y232)-1)</f>
        <v>FY2024</v>
      </c>
      <c r="AF232">
        <f>YEAR(Tabela2[[#This Row],[Issue2]])</f>
        <v>2024</v>
      </c>
    </row>
    <row r="233" spans="1:32" x14ac:dyDescent="0.35">
      <c r="A233" s="4" t="s">
        <v>1647</v>
      </c>
      <c r="B233" t="s">
        <v>1604</v>
      </c>
      <c r="C233" t="s">
        <v>348</v>
      </c>
      <c r="D233" t="s">
        <v>1648</v>
      </c>
      <c r="E233" t="s">
        <v>1846</v>
      </c>
      <c r="F233" t="s">
        <v>1848</v>
      </c>
      <c r="I233">
        <v>3</v>
      </c>
      <c r="J233" t="s">
        <v>47</v>
      </c>
      <c r="K233" s="1">
        <v>45888</v>
      </c>
      <c r="L233" s="1"/>
      <c r="M233" s="1">
        <v>45769</v>
      </c>
      <c r="O233" s="1" t="s">
        <v>1049</v>
      </c>
      <c r="P233" t="s">
        <v>1418</v>
      </c>
      <c r="Q233" t="s">
        <v>116</v>
      </c>
      <c r="R233" t="s">
        <v>124</v>
      </c>
      <c r="S233" t="s">
        <v>45</v>
      </c>
      <c r="T233" t="s">
        <v>329</v>
      </c>
      <c r="U233" t="s">
        <v>30</v>
      </c>
      <c r="V233" s="1">
        <v>45901</v>
      </c>
      <c r="W233" s="1" t="s">
        <v>53</v>
      </c>
      <c r="X233" t="s">
        <v>32</v>
      </c>
      <c r="Y233" s="1">
        <v>45901</v>
      </c>
      <c r="AA233" t="s">
        <v>1339</v>
      </c>
      <c r="AB233" t="s">
        <v>243</v>
      </c>
      <c r="AC233" t="str">
        <f>INDEX('DB Description'!$A$1:$B$23,MATCH(Tabela2[[#This Row],[Filial DB code]],'DB Description'!A:A,),2)</f>
        <v>Bauko</v>
      </c>
      <c r="AD233" s="9">
        <f>Tabela2[[#This Row],[Issue2]]-Tabela2[[#This Row],[Failure2]]</f>
        <v>13</v>
      </c>
      <c r="AE233" t="str">
        <f t="shared" ref="AE233:AE252" si="41">"FY"&amp;IF(MONTH(Y233)&gt;=4,YEAR(Y233),YEAR(Y233)-1)</f>
        <v>FY2025</v>
      </c>
      <c r="AF233">
        <f>YEAR(Tabela2[[#This Row],[Issue2]])</f>
        <v>2025</v>
      </c>
    </row>
    <row r="234" spans="1:32" x14ac:dyDescent="0.35">
      <c r="A234" s="4" t="s">
        <v>1649</v>
      </c>
      <c r="B234" t="s">
        <v>1604</v>
      </c>
      <c r="C234" t="s">
        <v>348</v>
      </c>
      <c r="D234" t="s">
        <v>1650</v>
      </c>
      <c r="E234" t="s">
        <v>1846</v>
      </c>
      <c r="F234" t="s">
        <v>1848</v>
      </c>
      <c r="I234">
        <v>3</v>
      </c>
      <c r="J234" t="s">
        <v>47</v>
      </c>
      <c r="K234" s="1">
        <v>45888</v>
      </c>
      <c r="L234" s="1"/>
      <c r="M234" s="1">
        <v>45835</v>
      </c>
      <c r="O234" s="1" t="s">
        <v>1049</v>
      </c>
      <c r="P234" t="s">
        <v>1418</v>
      </c>
      <c r="Q234" t="s">
        <v>116</v>
      </c>
      <c r="R234" t="s">
        <v>124</v>
      </c>
      <c r="S234" t="s">
        <v>45</v>
      </c>
      <c r="T234" t="s">
        <v>329</v>
      </c>
      <c r="U234" t="s">
        <v>30</v>
      </c>
      <c r="V234" s="1">
        <v>45901</v>
      </c>
      <c r="W234" s="1" t="s">
        <v>53</v>
      </c>
      <c r="X234" t="s">
        <v>32</v>
      </c>
      <c r="Y234" s="1">
        <v>45901</v>
      </c>
      <c r="AA234" t="s">
        <v>1339</v>
      </c>
      <c r="AB234" t="s">
        <v>243</v>
      </c>
      <c r="AC234" t="str">
        <f>INDEX('DB Description'!$A$1:$B$23,MATCH(Tabela2[[#This Row],[Filial DB code]],'DB Description'!A:A,),2)</f>
        <v>Bauko</v>
      </c>
      <c r="AD234" s="9">
        <f>Tabela2[[#This Row],[Issue2]]-Tabela2[[#This Row],[Failure2]]</f>
        <v>13</v>
      </c>
      <c r="AE234" t="str">
        <f t="shared" si="41"/>
        <v>FY2025</v>
      </c>
      <c r="AF234">
        <f>YEAR(Tabela2[[#This Row],[Issue2]])</f>
        <v>2025</v>
      </c>
    </row>
    <row r="235" spans="1:32" x14ac:dyDescent="0.35">
      <c r="A235" s="4" t="s">
        <v>1651</v>
      </c>
      <c r="B235" t="s">
        <v>1652</v>
      </c>
      <c r="C235" t="s">
        <v>1135</v>
      </c>
      <c r="D235" t="s">
        <v>827</v>
      </c>
      <c r="E235" t="s">
        <v>1846</v>
      </c>
      <c r="F235" t="s">
        <v>1848</v>
      </c>
      <c r="I235">
        <v>3</v>
      </c>
      <c r="J235" t="s">
        <v>47</v>
      </c>
      <c r="K235" s="1">
        <v>45888</v>
      </c>
      <c r="L235" s="1"/>
      <c r="M235" s="1">
        <v>45776</v>
      </c>
      <c r="O235" s="1" t="s">
        <v>1049</v>
      </c>
      <c r="P235" t="s">
        <v>1418</v>
      </c>
      <c r="Q235" t="s">
        <v>116</v>
      </c>
      <c r="R235" t="s">
        <v>124</v>
      </c>
      <c r="S235" t="s">
        <v>45</v>
      </c>
      <c r="T235" t="s">
        <v>329</v>
      </c>
      <c r="U235" t="s">
        <v>30</v>
      </c>
      <c r="V235" s="1">
        <v>45901</v>
      </c>
      <c r="W235" s="1" t="s">
        <v>53</v>
      </c>
      <c r="X235" t="s">
        <v>32</v>
      </c>
      <c r="Y235" s="1">
        <v>45901</v>
      </c>
      <c r="AA235" t="s">
        <v>1339</v>
      </c>
      <c r="AB235" t="s">
        <v>243</v>
      </c>
      <c r="AC235" t="str">
        <f>INDEX('DB Description'!$A$1:$B$23,MATCH(Tabela2[[#This Row],[Filial DB code]],'DB Description'!A:A,),2)</f>
        <v>Bauko</v>
      </c>
      <c r="AD235" s="9">
        <f>Tabela2[[#This Row],[Issue2]]-Tabela2[[#This Row],[Failure2]]</f>
        <v>13</v>
      </c>
      <c r="AE235" t="str">
        <f t="shared" si="41"/>
        <v>FY2025</v>
      </c>
      <c r="AF235">
        <f>YEAR(Tabela2[[#This Row],[Issue2]])</f>
        <v>2025</v>
      </c>
    </row>
    <row r="236" spans="1:32" x14ac:dyDescent="0.35">
      <c r="A236" s="4" t="s">
        <v>1653</v>
      </c>
      <c r="B236" t="s">
        <v>1604</v>
      </c>
      <c r="C236" t="s">
        <v>348</v>
      </c>
      <c r="D236" t="s">
        <v>1017</v>
      </c>
      <c r="E236" t="s">
        <v>1846</v>
      </c>
      <c r="F236" t="s">
        <v>1848</v>
      </c>
      <c r="I236">
        <v>3</v>
      </c>
      <c r="J236" t="s">
        <v>47</v>
      </c>
      <c r="K236" s="1">
        <v>45888</v>
      </c>
      <c r="L236" s="1"/>
      <c r="M236" s="1">
        <v>45769</v>
      </c>
      <c r="O236" s="1" t="s">
        <v>1049</v>
      </c>
      <c r="P236" t="s">
        <v>1418</v>
      </c>
      <c r="Q236" t="s">
        <v>116</v>
      </c>
      <c r="R236" t="s">
        <v>124</v>
      </c>
      <c r="S236" t="s">
        <v>45</v>
      </c>
      <c r="T236" t="s">
        <v>329</v>
      </c>
      <c r="U236" t="s">
        <v>30</v>
      </c>
      <c r="V236" s="1">
        <v>45901</v>
      </c>
      <c r="W236" s="1" t="s">
        <v>53</v>
      </c>
      <c r="X236" t="s">
        <v>32</v>
      </c>
      <c r="Y236" s="1">
        <v>45901</v>
      </c>
      <c r="AA236" t="s">
        <v>1339</v>
      </c>
      <c r="AB236" t="s">
        <v>243</v>
      </c>
      <c r="AC236" t="str">
        <f>INDEX('DB Description'!$A$1:$B$23,MATCH(Tabela2[[#This Row],[Filial DB code]],'DB Description'!A:A,),2)</f>
        <v>Bauko</v>
      </c>
      <c r="AD236" s="9">
        <f>Tabela2[[#This Row],[Issue2]]-Tabela2[[#This Row],[Failure2]]</f>
        <v>13</v>
      </c>
      <c r="AE236" t="str">
        <f t="shared" si="41"/>
        <v>FY2025</v>
      </c>
      <c r="AF236">
        <f>YEAR(Tabela2[[#This Row],[Issue2]])</f>
        <v>2025</v>
      </c>
    </row>
    <row r="237" spans="1:32" x14ac:dyDescent="0.35">
      <c r="A237" s="4" t="s">
        <v>1654</v>
      </c>
      <c r="B237" t="s">
        <v>1652</v>
      </c>
      <c r="C237" t="s">
        <v>1135</v>
      </c>
      <c r="D237" t="s">
        <v>1655</v>
      </c>
      <c r="E237" t="s">
        <v>1846</v>
      </c>
      <c r="F237" t="s">
        <v>1848</v>
      </c>
      <c r="I237">
        <v>5</v>
      </c>
      <c r="J237" t="s">
        <v>47</v>
      </c>
      <c r="K237" s="1">
        <v>45887</v>
      </c>
      <c r="L237" s="1"/>
      <c r="M237" s="1">
        <v>45652</v>
      </c>
      <c r="O237" s="1" t="s">
        <v>1049</v>
      </c>
      <c r="P237" t="s">
        <v>1418</v>
      </c>
      <c r="Q237" t="s">
        <v>116</v>
      </c>
      <c r="R237" t="s">
        <v>124</v>
      </c>
      <c r="S237" t="s">
        <v>45</v>
      </c>
      <c r="T237" t="s">
        <v>329</v>
      </c>
      <c r="U237" t="s">
        <v>30</v>
      </c>
      <c r="V237" s="1">
        <v>45901</v>
      </c>
      <c r="W237" s="1" t="s">
        <v>53</v>
      </c>
      <c r="X237" t="s">
        <v>32</v>
      </c>
      <c r="Y237" s="1">
        <v>45901</v>
      </c>
      <c r="AA237" t="s">
        <v>1339</v>
      </c>
      <c r="AB237" t="s">
        <v>243</v>
      </c>
      <c r="AC237" t="str">
        <f>INDEX('DB Description'!$A$1:$B$23,MATCH(Tabela2[[#This Row],[Filial DB code]],'DB Description'!A:A,),2)</f>
        <v>Bauko</v>
      </c>
      <c r="AD237" s="9">
        <f>Tabela2[[#This Row],[Issue2]]-Tabela2[[#This Row],[Failure2]]</f>
        <v>14</v>
      </c>
      <c r="AE237" t="str">
        <f t="shared" si="41"/>
        <v>FY2025</v>
      </c>
      <c r="AF237">
        <f>YEAR(Tabela2[[#This Row],[Issue2]])</f>
        <v>2025</v>
      </c>
    </row>
    <row r="238" spans="1:32" x14ac:dyDescent="0.35">
      <c r="A238" s="4" t="s">
        <v>1656</v>
      </c>
      <c r="B238" t="s">
        <v>1604</v>
      </c>
      <c r="C238" t="s">
        <v>348</v>
      </c>
      <c r="D238" t="s">
        <v>1186</v>
      </c>
      <c r="E238" t="s">
        <v>1846</v>
      </c>
      <c r="F238" t="s">
        <v>1848</v>
      </c>
      <c r="I238">
        <v>3</v>
      </c>
      <c r="J238" t="s">
        <v>47</v>
      </c>
      <c r="K238" s="1">
        <v>45887</v>
      </c>
      <c r="L238" s="1"/>
      <c r="M238" s="1">
        <v>45824</v>
      </c>
      <c r="O238" s="1" t="s">
        <v>1049</v>
      </c>
      <c r="P238" t="s">
        <v>1418</v>
      </c>
      <c r="Q238" t="s">
        <v>116</v>
      </c>
      <c r="R238" t="s">
        <v>124</v>
      </c>
      <c r="S238" t="s">
        <v>45</v>
      </c>
      <c r="T238" t="s">
        <v>329</v>
      </c>
      <c r="U238" t="s">
        <v>30</v>
      </c>
      <c r="V238" s="1">
        <v>45901</v>
      </c>
      <c r="W238" s="1" t="s">
        <v>53</v>
      </c>
      <c r="X238" t="s">
        <v>32</v>
      </c>
      <c r="Y238" s="1">
        <v>45901</v>
      </c>
      <c r="AA238" t="s">
        <v>1339</v>
      </c>
      <c r="AB238" t="s">
        <v>243</v>
      </c>
      <c r="AC238" t="str">
        <f>INDEX('DB Description'!$A$1:$B$23,MATCH(Tabela2[[#This Row],[Filial DB code]],'DB Description'!A:A,),2)</f>
        <v>Bauko</v>
      </c>
      <c r="AD238" s="9">
        <f>Tabela2[[#This Row],[Issue2]]-Tabela2[[#This Row],[Failure2]]</f>
        <v>14</v>
      </c>
      <c r="AE238" t="str">
        <f t="shared" si="41"/>
        <v>FY2025</v>
      </c>
      <c r="AF238">
        <f>YEAR(Tabela2[[#This Row],[Issue2]])</f>
        <v>2025</v>
      </c>
    </row>
    <row r="239" spans="1:32" x14ac:dyDescent="0.35">
      <c r="A239" s="4" t="s">
        <v>1657</v>
      </c>
      <c r="B239" t="s">
        <v>1604</v>
      </c>
      <c r="C239" t="s">
        <v>348</v>
      </c>
      <c r="D239" t="s">
        <v>1658</v>
      </c>
      <c r="E239" t="s">
        <v>1846</v>
      </c>
      <c r="F239" t="s">
        <v>1848</v>
      </c>
      <c r="I239">
        <v>3</v>
      </c>
      <c r="J239" t="s">
        <v>47</v>
      </c>
      <c r="K239" s="1">
        <v>45887</v>
      </c>
      <c r="L239" s="1"/>
      <c r="M239" s="1">
        <v>45797</v>
      </c>
      <c r="O239" s="1" t="s">
        <v>1049</v>
      </c>
      <c r="P239" t="s">
        <v>1418</v>
      </c>
      <c r="Q239" t="s">
        <v>116</v>
      </c>
      <c r="R239" t="s">
        <v>124</v>
      </c>
      <c r="S239" t="s">
        <v>45</v>
      </c>
      <c r="T239" t="s">
        <v>329</v>
      </c>
      <c r="U239" t="s">
        <v>30</v>
      </c>
      <c r="V239" s="1">
        <v>45901</v>
      </c>
      <c r="W239" s="1" t="s">
        <v>53</v>
      </c>
      <c r="X239" t="s">
        <v>32</v>
      </c>
      <c r="Y239" s="1">
        <v>45901</v>
      </c>
      <c r="AA239" t="s">
        <v>1339</v>
      </c>
      <c r="AB239" t="s">
        <v>243</v>
      </c>
      <c r="AC239" t="str">
        <f>INDEX('DB Description'!$A$1:$B$23,MATCH(Tabela2[[#This Row],[Filial DB code]],'DB Description'!A:A,),2)</f>
        <v>Bauko</v>
      </c>
      <c r="AD239" s="9">
        <f>Tabela2[[#This Row],[Issue2]]-Tabela2[[#This Row],[Failure2]]</f>
        <v>14</v>
      </c>
      <c r="AE239" t="str">
        <f t="shared" si="41"/>
        <v>FY2025</v>
      </c>
      <c r="AF239">
        <f>YEAR(Tabela2[[#This Row],[Issue2]])</f>
        <v>2025</v>
      </c>
    </row>
    <row r="240" spans="1:32" x14ac:dyDescent="0.35">
      <c r="A240" s="4" t="s">
        <v>1659</v>
      </c>
      <c r="B240" t="s">
        <v>1652</v>
      </c>
      <c r="C240" t="s">
        <v>1135</v>
      </c>
      <c r="D240" t="s">
        <v>826</v>
      </c>
      <c r="E240" t="s">
        <v>1846</v>
      </c>
      <c r="F240" t="s">
        <v>1848</v>
      </c>
      <c r="I240">
        <v>4</v>
      </c>
      <c r="J240" t="s">
        <v>47</v>
      </c>
      <c r="K240" s="1">
        <v>45885</v>
      </c>
      <c r="L240" s="1"/>
      <c r="M240" s="1">
        <v>45776</v>
      </c>
      <c r="O240" s="1" t="s">
        <v>1049</v>
      </c>
      <c r="P240" t="s">
        <v>1418</v>
      </c>
      <c r="Q240" t="s">
        <v>116</v>
      </c>
      <c r="R240" t="s">
        <v>124</v>
      </c>
      <c r="S240" t="s">
        <v>45</v>
      </c>
      <c r="T240" t="s">
        <v>329</v>
      </c>
      <c r="U240" t="s">
        <v>30</v>
      </c>
      <c r="V240" s="1">
        <v>45901</v>
      </c>
      <c r="W240" s="1" t="s">
        <v>53</v>
      </c>
      <c r="X240" t="s">
        <v>32</v>
      </c>
      <c r="Y240" s="1">
        <v>45901</v>
      </c>
      <c r="AA240" t="s">
        <v>1339</v>
      </c>
      <c r="AB240" t="s">
        <v>243</v>
      </c>
      <c r="AC240" t="str">
        <f>INDEX('DB Description'!$A$1:$B$23,MATCH(Tabela2[[#This Row],[Filial DB code]],'DB Description'!A:A,),2)</f>
        <v>Bauko</v>
      </c>
      <c r="AD240" s="9">
        <f>Tabela2[[#This Row],[Issue2]]-Tabela2[[#This Row],[Failure2]]</f>
        <v>16</v>
      </c>
      <c r="AE240" t="str">
        <f t="shared" si="41"/>
        <v>FY2025</v>
      </c>
      <c r="AF240">
        <f>YEAR(Tabela2[[#This Row],[Issue2]])</f>
        <v>2025</v>
      </c>
    </row>
    <row r="241" spans="1:32" x14ac:dyDescent="0.35">
      <c r="A241" s="4" t="s">
        <v>1660</v>
      </c>
      <c r="B241" t="s">
        <v>1652</v>
      </c>
      <c r="C241" t="s">
        <v>1135</v>
      </c>
      <c r="D241" t="s">
        <v>242</v>
      </c>
      <c r="E241" t="s">
        <v>1846</v>
      </c>
      <c r="F241" t="s">
        <v>1848</v>
      </c>
      <c r="I241">
        <v>3</v>
      </c>
      <c r="J241" t="s">
        <v>47</v>
      </c>
      <c r="K241" s="1">
        <v>45884</v>
      </c>
      <c r="L241" s="1"/>
      <c r="M241" s="1">
        <v>45776</v>
      </c>
      <c r="O241" s="1" t="s">
        <v>1049</v>
      </c>
      <c r="P241" t="s">
        <v>1418</v>
      </c>
      <c r="Q241" t="s">
        <v>116</v>
      </c>
      <c r="R241" t="s">
        <v>124</v>
      </c>
      <c r="S241" t="s">
        <v>45</v>
      </c>
      <c r="T241" t="s">
        <v>329</v>
      </c>
      <c r="U241" t="s">
        <v>30</v>
      </c>
      <c r="V241" s="1">
        <v>45901</v>
      </c>
      <c r="W241" s="1" t="s">
        <v>53</v>
      </c>
      <c r="X241" t="s">
        <v>32</v>
      </c>
      <c r="Y241" s="1">
        <v>45901</v>
      </c>
      <c r="AA241" t="s">
        <v>1339</v>
      </c>
      <c r="AB241" t="s">
        <v>243</v>
      </c>
      <c r="AC241" t="str">
        <f>INDEX('DB Description'!$A$1:$B$23,MATCH(Tabela2[[#This Row],[Filial DB code]],'DB Description'!A:A,),2)</f>
        <v>Bauko</v>
      </c>
      <c r="AD241" s="9">
        <f>Tabela2[[#This Row],[Issue2]]-Tabela2[[#This Row],[Failure2]]</f>
        <v>17</v>
      </c>
      <c r="AE241" t="str">
        <f t="shared" si="41"/>
        <v>FY2025</v>
      </c>
      <c r="AF241">
        <f>YEAR(Tabela2[[#This Row],[Issue2]])</f>
        <v>2025</v>
      </c>
    </row>
    <row r="242" spans="1:32" x14ac:dyDescent="0.35">
      <c r="A242" s="4" t="s">
        <v>1661</v>
      </c>
      <c r="B242" t="s">
        <v>1604</v>
      </c>
      <c r="C242" t="s">
        <v>348</v>
      </c>
      <c r="D242" t="s">
        <v>972</v>
      </c>
      <c r="E242" t="s">
        <v>1846</v>
      </c>
      <c r="F242" t="s">
        <v>1848</v>
      </c>
      <c r="I242">
        <v>4</v>
      </c>
      <c r="J242" t="s">
        <v>47</v>
      </c>
      <c r="K242" s="1">
        <v>45884</v>
      </c>
      <c r="L242" s="1"/>
      <c r="M242" s="1">
        <v>45831</v>
      </c>
      <c r="N242" s="1">
        <v>45869</v>
      </c>
      <c r="O242" s="1" t="s">
        <v>1049</v>
      </c>
      <c r="P242" t="s">
        <v>1418</v>
      </c>
      <c r="Q242" t="s">
        <v>116</v>
      </c>
      <c r="R242" t="s">
        <v>124</v>
      </c>
      <c r="S242" t="s">
        <v>45</v>
      </c>
      <c r="T242" t="s">
        <v>329</v>
      </c>
      <c r="U242" t="s">
        <v>30</v>
      </c>
      <c r="V242" s="1">
        <v>45901</v>
      </c>
      <c r="W242" s="1" t="s">
        <v>53</v>
      </c>
      <c r="X242" t="s">
        <v>32</v>
      </c>
      <c r="Y242" s="1">
        <v>45901</v>
      </c>
      <c r="AA242" t="s">
        <v>1339</v>
      </c>
      <c r="AB242" t="s">
        <v>243</v>
      </c>
      <c r="AC242" t="str">
        <f>INDEX('DB Description'!$A$1:$B$23,MATCH(Tabela2[[#This Row],[Filial DB code]],'DB Description'!A:A,),2)</f>
        <v>Bauko</v>
      </c>
      <c r="AD242" s="9">
        <f>Tabela2[[#This Row],[Issue2]]-Tabela2[[#This Row],[Failure2]]</f>
        <v>17</v>
      </c>
      <c r="AE242" t="str">
        <f t="shared" si="41"/>
        <v>FY2025</v>
      </c>
      <c r="AF242">
        <f>YEAR(Tabela2[[#This Row],[Issue2]])</f>
        <v>2025</v>
      </c>
    </row>
    <row r="243" spans="1:32" x14ac:dyDescent="0.35">
      <c r="A243" s="4" t="s">
        <v>1662</v>
      </c>
      <c r="B243" t="s">
        <v>1652</v>
      </c>
      <c r="C243" t="s">
        <v>1135</v>
      </c>
      <c r="D243" t="s">
        <v>829</v>
      </c>
      <c r="E243" t="s">
        <v>1846</v>
      </c>
      <c r="F243" t="s">
        <v>1848</v>
      </c>
      <c r="I243">
        <v>3</v>
      </c>
      <c r="J243" t="s">
        <v>47</v>
      </c>
      <c r="K243" s="1">
        <v>45884</v>
      </c>
      <c r="L243" s="1"/>
      <c r="M243" s="1">
        <v>45775</v>
      </c>
      <c r="O243" s="1" t="s">
        <v>1049</v>
      </c>
      <c r="P243" t="s">
        <v>1418</v>
      </c>
      <c r="Q243" t="s">
        <v>116</v>
      </c>
      <c r="R243" t="s">
        <v>124</v>
      </c>
      <c r="S243" t="s">
        <v>45</v>
      </c>
      <c r="T243" t="s">
        <v>329</v>
      </c>
      <c r="U243" t="s">
        <v>30</v>
      </c>
      <c r="V243" s="1">
        <v>45901</v>
      </c>
      <c r="W243" s="1" t="s">
        <v>53</v>
      </c>
      <c r="X243" t="s">
        <v>32</v>
      </c>
      <c r="Y243" s="1">
        <v>45901</v>
      </c>
      <c r="AA243" t="s">
        <v>1339</v>
      </c>
      <c r="AB243" t="s">
        <v>243</v>
      </c>
      <c r="AC243" t="str">
        <f>INDEX('DB Description'!$A$1:$B$23,MATCH(Tabela2[[#This Row],[Filial DB code]],'DB Description'!A:A,),2)</f>
        <v>Bauko</v>
      </c>
      <c r="AD243" s="9">
        <f>Tabela2[[#This Row],[Issue2]]-Tabela2[[#This Row],[Failure2]]</f>
        <v>17</v>
      </c>
      <c r="AE243" t="str">
        <f t="shared" si="41"/>
        <v>FY2025</v>
      </c>
      <c r="AF243">
        <f>YEAR(Tabela2[[#This Row],[Issue2]])</f>
        <v>2025</v>
      </c>
    </row>
    <row r="244" spans="1:32" x14ac:dyDescent="0.35">
      <c r="A244" s="4" t="s">
        <v>1663</v>
      </c>
      <c r="B244" t="s">
        <v>1604</v>
      </c>
      <c r="C244" t="s">
        <v>348</v>
      </c>
      <c r="D244" t="s">
        <v>1664</v>
      </c>
      <c r="E244" t="s">
        <v>1846</v>
      </c>
      <c r="F244" t="s">
        <v>1848</v>
      </c>
      <c r="I244">
        <v>2</v>
      </c>
      <c r="J244" t="s">
        <v>47</v>
      </c>
      <c r="K244" s="1">
        <v>45884</v>
      </c>
      <c r="L244" s="1"/>
      <c r="M244" s="1">
        <v>45832</v>
      </c>
      <c r="N244" s="1">
        <v>45869</v>
      </c>
      <c r="O244" s="1" t="s">
        <v>1049</v>
      </c>
      <c r="P244" t="s">
        <v>1418</v>
      </c>
      <c r="Q244" t="s">
        <v>116</v>
      </c>
      <c r="R244" t="s">
        <v>124</v>
      </c>
      <c r="S244" t="s">
        <v>45</v>
      </c>
      <c r="T244" t="s">
        <v>329</v>
      </c>
      <c r="U244" t="s">
        <v>30</v>
      </c>
      <c r="V244" s="1">
        <v>45901</v>
      </c>
      <c r="W244" s="1" t="s">
        <v>53</v>
      </c>
      <c r="X244" t="s">
        <v>32</v>
      </c>
      <c r="Y244" s="1">
        <v>45901</v>
      </c>
      <c r="AA244" t="s">
        <v>1339</v>
      </c>
      <c r="AB244" t="s">
        <v>243</v>
      </c>
      <c r="AC244" t="str">
        <f>INDEX('DB Description'!$A$1:$B$23,MATCH(Tabela2[[#This Row],[Filial DB code]],'DB Description'!A:A,),2)</f>
        <v>Bauko</v>
      </c>
      <c r="AD244" s="9">
        <f>Tabela2[[#This Row],[Issue2]]-Tabela2[[#This Row],[Failure2]]</f>
        <v>17</v>
      </c>
      <c r="AE244" t="str">
        <f t="shared" si="41"/>
        <v>FY2025</v>
      </c>
      <c r="AF244">
        <f>YEAR(Tabela2[[#This Row],[Issue2]])</f>
        <v>2025</v>
      </c>
    </row>
    <row r="245" spans="1:32" x14ac:dyDescent="0.35">
      <c r="A245" s="4" t="s">
        <v>1665</v>
      </c>
      <c r="B245" t="s">
        <v>1604</v>
      </c>
      <c r="C245" t="s">
        <v>348</v>
      </c>
      <c r="D245" t="s">
        <v>961</v>
      </c>
      <c r="E245" t="s">
        <v>1846</v>
      </c>
      <c r="F245" t="s">
        <v>1848</v>
      </c>
      <c r="I245">
        <v>3</v>
      </c>
      <c r="J245" t="s">
        <v>47</v>
      </c>
      <c r="K245" s="1">
        <v>45883</v>
      </c>
      <c r="L245" s="1"/>
      <c r="M245" s="1">
        <v>45840</v>
      </c>
      <c r="N245" s="1">
        <v>45888</v>
      </c>
      <c r="O245" s="1" t="s">
        <v>1049</v>
      </c>
      <c r="P245" t="s">
        <v>1418</v>
      </c>
      <c r="Q245" t="s">
        <v>116</v>
      </c>
      <c r="R245" t="s">
        <v>124</v>
      </c>
      <c r="S245" t="s">
        <v>45</v>
      </c>
      <c r="T245" t="s">
        <v>329</v>
      </c>
      <c r="U245" t="s">
        <v>30</v>
      </c>
      <c r="V245" s="1">
        <v>45901</v>
      </c>
      <c r="W245" s="1" t="s">
        <v>53</v>
      </c>
      <c r="X245" t="s">
        <v>32</v>
      </c>
      <c r="Y245" s="1">
        <v>45901</v>
      </c>
      <c r="AA245" t="s">
        <v>1339</v>
      </c>
      <c r="AB245" t="s">
        <v>243</v>
      </c>
      <c r="AC245" t="str">
        <f>INDEX('DB Description'!$A$1:$B$23,MATCH(Tabela2[[#This Row],[Filial DB code]],'DB Description'!A:A,),2)</f>
        <v>Bauko</v>
      </c>
      <c r="AD245" s="9">
        <f>Tabela2[[#This Row],[Issue2]]-Tabela2[[#This Row],[Failure2]]</f>
        <v>18</v>
      </c>
      <c r="AE245" t="str">
        <f t="shared" si="41"/>
        <v>FY2025</v>
      </c>
      <c r="AF245">
        <f>YEAR(Tabela2[[#This Row],[Issue2]])</f>
        <v>2025</v>
      </c>
    </row>
    <row r="246" spans="1:32" x14ac:dyDescent="0.35">
      <c r="A246" s="4" t="s">
        <v>1666</v>
      </c>
      <c r="B246" t="s">
        <v>1604</v>
      </c>
      <c r="C246" t="s">
        <v>348</v>
      </c>
      <c r="D246" t="s">
        <v>246</v>
      </c>
      <c r="E246" t="s">
        <v>1846</v>
      </c>
      <c r="F246" t="s">
        <v>1848</v>
      </c>
      <c r="I246">
        <v>2</v>
      </c>
      <c r="J246" t="s">
        <v>47</v>
      </c>
      <c r="K246" s="1">
        <v>45883</v>
      </c>
      <c r="L246" s="1"/>
      <c r="M246" s="1">
        <v>45840</v>
      </c>
      <c r="O246" s="1" t="s">
        <v>1049</v>
      </c>
      <c r="P246" t="s">
        <v>1418</v>
      </c>
      <c r="Q246" t="s">
        <v>116</v>
      </c>
      <c r="R246" t="s">
        <v>124</v>
      </c>
      <c r="S246" t="s">
        <v>45</v>
      </c>
      <c r="T246" t="s">
        <v>329</v>
      </c>
      <c r="U246" t="s">
        <v>30</v>
      </c>
      <c r="V246" s="1">
        <v>45901</v>
      </c>
      <c r="W246" s="1" t="s">
        <v>53</v>
      </c>
      <c r="X246" t="s">
        <v>32</v>
      </c>
      <c r="Y246" s="1">
        <v>45901</v>
      </c>
      <c r="AA246" t="s">
        <v>1339</v>
      </c>
      <c r="AB246" t="s">
        <v>243</v>
      </c>
      <c r="AC246" t="str">
        <f>INDEX('DB Description'!$A$1:$B$23,MATCH(Tabela2[[#This Row],[Filial DB code]],'DB Description'!A:A,),2)</f>
        <v>Bauko</v>
      </c>
      <c r="AD246" s="9">
        <f>Tabela2[[#This Row],[Issue2]]-Tabela2[[#This Row],[Failure2]]</f>
        <v>18</v>
      </c>
      <c r="AE246" t="str">
        <f t="shared" si="41"/>
        <v>FY2025</v>
      </c>
      <c r="AF246">
        <f>YEAR(Tabela2[[#This Row],[Issue2]])</f>
        <v>2025</v>
      </c>
    </row>
    <row r="247" spans="1:32" x14ac:dyDescent="0.35">
      <c r="A247" s="4" t="s">
        <v>1667</v>
      </c>
      <c r="B247" t="s">
        <v>1604</v>
      </c>
      <c r="C247" t="s">
        <v>348</v>
      </c>
      <c r="D247" t="s">
        <v>257</v>
      </c>
      <c r="E247" t="s">
        <v>1846</v>
      </c>
      <c r="F247" t="s">
        <v>1848</v>
      </c>
      <c r="I247">
        <v>4</v>
      </c>
      <c r="J247" t="s">
        <v>47</v>
      </c>
      <c r="K247" s="1">
        <v>45883</v>
      </c>
      <c r="L247" s="1"/>
      <c r="M247" s="1">
        <v>45826</v>
      </c>
      <c r="N247" s="1">
        <v>45869</v>
      </c>
      <c r="O247" s="1" t="s">
        <v>1049</v>
      </c>
      <c r="P247" t="s">
        <v>1418</v>
      </c>
      <c r="Q247" t="s">
        <v>116</v>
      </c>
      <c r="R247" t="s">
        <v>124</v>
      </c>
      <c r="S247" t="s">
        <v>45</v>
      </c>
      <c r="T247" t="s">
        <v>329</v>
      </c>
      <c r="U247" t="s">
        <v>30</v>
      </c>
      <c r="V247" s="1">
        <v>45901</v>
      </c>
      <c r="W247" s="1" t="s">
        <v>53</v>
      </c>
      <c r="X247" t="s">
        <v>32</v>
      </c>
      <c r="Y247" s="1">
        <v>45901</v>
      </c>
      <c r="AA247" t="s">
        <v>1339</v>
      </c>
      <c r="AB247" t="s">
        <v>243</v>
      </c>
      <c r="AC247" t="str">
        <f>INDEX('DB Description'!$A$1:$B$23,MATCH(Tabela2[[#This Row],[Filial DB code]],'DB Description'!A:A,),2)</f>
        <v>Bauko</v>
      </c>
      <c r="AD247" s="9">
        <f>Tabela2[[#This Row],[Issue2]]-Tabela2[[#This Row],[Failure2]]</f>
        <v>18</v>
      </c>
      <c r="AE247" t="str">
        <f t="shared" si="41"/>
        <v>FY2025</v>
      </c>
      <c r="AF247">
        <f>YEAR(Tabela2[[#This Row],[Issue2]])</f>
        <v>2025</v>
      </c>
    </row>
    <row r="248" spans="1:32" x14ac:dyDescent="0.35">
      <c r="A248" s="4" t="s">
        <v>1668</v>
      </c>
      <c r="B248" t="s">
        <v>1652</v>
      </c>
      <c r="C248" t="s">
        <v>1135</v>
      </c>
      <c r="D248" t="s">
        <v>1669</v>
      </c>
      <c r="E248" t="s">
        <v>1846</v>
      </c>
      <c r="F248" t="s">
        <v>1848</v>
      </c>
      <c r="I248">
        <v>3</v>
      </c>
      <c r="J248" t="s">
        <v>47</v>
      </c>
      <c r="K248" s="1">
        <v>45883</v>
      </c>
      <c r="L248" s="1"/>
      <c r="M248" s="1">
        <v>45652</v>
      </c>
      <c r="O248" s="1" t="s">
        <v>1049</v>
      </c>
      <c r="P248" t="s">
        <v>1418</v>
      </c>
      <c r="Q248" t="s">
        <v>116</v>
      </c>
      <c r="R248" t="s">
        <v>124</v>
      </c>
      <c r="S248" t="s">
        <v>45</v>
      </c>
      <c r="T248" t="s">
        <v>329</v>
      </c>
      <c r="U248" t="s">
        <v>30</v>
      </c>
      <c r="V248" s="1">
        <v>45901</v>
      </c>
      <c r="W248" s="1" t="s">
        <v>53</v>
      </c>
      <c r="X248" t="s">
        <v>32</v>
      </c>
      <c r="Y248" s="1">
        <v>45901</v>
      </c>
      <c r="AA248" t="s">
        <v>1339</v>
      </c>
      <c r="AB248" t="s">
        <v>243</v>
      </c>
      <c r="AC248" t="str">
        <f>INDEX('DB Description'!$A$1:$B$23,MATCH(Tabela2[[#This Row],[Filial DB code]],'DB Description'!A:A,),2)</f>
        <v>Bauko</v>
      </c>
      <c r="AD248" s="9">
        <f>Tabela2[[#This Row],[Issue2]]-Tabela2[[#This Row],[Failure2]]</f>
        <v>18</v>
      </c>
      <c r="AE248" t="str">
        <f t="shared" si="41"/>
        <v>FY2025</v>
      </c>
      <c r="AF248">
        <f>YEAR(Tabela2[[#This Row],[Issue2]])</f>
        <v>2025</v>
      </c>
    </row>
    <row r="249" spans="1:32" x14ac:dyDescent="0.35">
      <c r="A249" s="4" t="s">
        <v>1670</v>
      </c>
      <c r="B249" t="s">
        <v>1604</v>
      </c>
      <c r="C249" t="s">
        <v>348</v>
      </c>
      <c r="D249" t="s">
        <v>1671</v>
      </c>
      <c r="E249" t="s">
        <v>1846</v>
      </c>
      <c r="F249" t="s">
        <v>1848</v>
      </c>
      <c r="I249">
        <v>4</v>
      </c>
      <c r="J249" t="s">
        <v>47</v>
      </c>
      <c r="K249" s="1">
        <v>45882</v>
      </c>
      <c r="L249" s="1"/>
      <c r="M249" s="1">
        <v>45835</v>
      </c>
      <c r="O249" s="1" t="s">
        <v>1049</v>
      </c>
      <c r="P249" t="s">
        <v>1418</v>
      </c>
      <c r="Q249" t="s">
        <v>116</v>
      </c>
      <c r="R249" t="s">
        <v>124</v>
      </c>
      <c r="S249" t="s">
        <v>45</v>
      </c>
      <c r="T249" t="s">
        <v>329</v>
      </c>
      <c r="U249" t="s">
        <v>30</v>
      </c>
      <c r="V249" s="1">
        <v>45901</v>
      </c>
      <c r="W249" s="1" t="s">
        <v>53</v>
      </c>
      <c r="X249" t="s">
        <v>32</v>
      </c>
      <c r="Y249" s="1">
        <v>45901</v>
      </c>
      <c r="AA249" t="s">
        <v>1339</v>
      </c>
      <c r="AB249" t="s">
        <v>243</v>
      </c>
      <c r="AC249" t="str">
        <f>INDEX('DB Description'!$A$1:$B$23,MATCH(Tabela2[[#This Row],[Filial DB code]],'DB Description'!A:A,),2)</f>
        <v>Bauko</v>
      </c>
      <c r="AD249" s="9">
        <f>Tabela2[[#This Row],[Issue2]]-Tabela2[[#This Row],[Failure2]]</f>
        <v>19</v>
      </c>
      <c r="AE249" t="str">
        <f t="shared" si="41"/>
        <v>FY2025</v>
      </c>
      <c r="AF249">
        <f>YEAR(Tabela2[[#This Row],[Issue2]])</f>
        <v>2025</v>
      </c>
    </row>
    <row r="250" spans="1:32" x14ac:dyDescent="0.35">
      <c r="A250" s="4" t="s">
        <v>1672</v>
      </c>
      <c r="B250" t="s">
        <v>1604</v>
      </c>
      <c r="C250" t="s">
        <v>348</v>
      </c>
      <c r="D250" t="s">
        <v>1673</v>
      </c>
      <c r="E250" t="s">
        <v>1846</v>
      </c>
      <c r="F250" t="s">
        <v>1848</v>
      </c>
      <c r="I250">
        <v>3</v>
      </c>
      <c r="J250" t="s">
        <v>47</v>
      </c>
      <c r="K250" s="1">
        <v>45882</v>
      </c>
      <c r="L250" s="1"/>
      <c r="M250" s="1">
        <v>45826</v>
      </c>
      <c r="N250" s="1">
        <v>45869</v>
      </c>
      <c r="O250" s="1" t="s">
        <v>1049</v>
      </c>
      <c r="P250" t="s">
        <v>1418</v>
      </c>
      <c r="Q250" t="s">
        <v>116</v>
      </c>
      <c r="R250" t="s">
        <v>124</v>
      </c>
      <c r="S250" t="s">
        <v>45</v>
      </c>
      <c r="T250" t="s">
        <v>329</v>
      </c>
      <c r="U250" t="s">
        <v>30</v>
      </c>
      <c r="V250" s="1">
        <v>45901</v>
      </c>
      <c r="W250" s="1" t="s">
        <v>53</v>
      </c>
      <c r="X250" t="s">
        <v>32</v>
      </c>
      <c r="Y250" s="1">
        <v>45901</v>
      </c>
      <c r="AA250" t="s">
        <v>1339</v>
      </c>
      <c r="AB250" t="s">
        <v>243</v>
      </c>
      <c r="AC250" t="str">
        <f>INDEX('DB Description'!$A$1:$B$23,MATCH(Tabela2[[#This Row],[Filial DB code]],'DB Description'!A:A,),2)</f>
        <v>Bauko</v>
      </c>
      <c r="AD250" s="9">
        <f>Tabela2[[#This Row],[Issue2]]-Tabela2[[#This Row],[Failure2]]</f>
        <v>19</v>
      </c>
      <c r="AE250" t="str">
        <f t="shared" si="41"/>
        <v>FY2025</v>
      </c>
      <c r="AF250">
        <f>YEAR(Tabela2[[#This Row],[Issue2]])</f>
        <v>2025</v>
      </c>
    </row>
    <row r="251" spans="1:32" x14ac:dyDescent="0.35">
      <c r="A251" t="s">
        <v>1674</v>
      </c>
      <c r="B251" t="s">
        <v>1624</v>
      </c>
      <c r="C251" t="s">
        <v>348</v>
      </c>
      <c r="D251" t="s">
        <v>1023</v>
      </c>
      <c r="E251" t="s">
        <v>1850</v>
      </c>
      <c r="F251" t="s">
        <v>1849</v>
      </c>
      <c r="I251">
        <v>2706</v>
      </c>
      <c r="J251" t="s">
        <v>47</v>
      </c>
      <c r="K251" s="1">
        <v>45894</v>
      </c>
      <c r="L251" s="1"/>
      <c r="M251" s="1">
        <v>45348</v>
      </c>
      <c r="N251" s="1">
        <v>45383</v>
      </c>
      <c r="O251" s="1" t="s">
        <v>1213</v>
      </c>
      <c r="P251" t="s">
        <v>133</v>
      </c>
      <c r="Q251" t="s">
        <v>65</v>
      </c>
      <c r="R251" t="s">
        <v>124</v>
      </c>
      <c r="S251" t="s">
        <v>45</v>
      </c>
      <c r="T251" t="s">
        <v>329</v>
      </c>
      <c r="U251" t="s">
        <v>30</v>
      </c>
      <c r="V251" s="1">
        <v>45895</v>
      </c>
      <c r="W251" s="1" t="s">
        <v>53</v>
      </c>
      <c r="X251" t="s">
        <v>32</v>
      </c>
      <c r="Y251" s="1">
        <v>45895</v>
      </c>
      <c r="Z251" s="1" t="s">
        <v>1675</v>
      </c>
      <c r="AA251" t="s">
        <v>328</v>
      </c>
      <c r="AB251" t="s">
        <v>1520</v>
      </c>
      <c r="AC251" t="str">
        <f>INDEX('DB Description'!$A$1:$B$23,MATCH(Tabela2[[#This Row],[Filial DB code]],'DB Description'!A:A,),2)</f>
        <v>Bauko</v>
      </c>
      <c r="AD251" s="9">
        <f>Tabela2[[#This Row],[Issue2]]-Tabela2[[#This Row],[Failure2]]</f>
        <v>1</v>
      </c>
      <c r="AE251" t="str">
        <f t="shared" si="41"/>
        <v>FY2025</v>
      </c>
      <c r="AF251">
        <f>YEAR(Tabela2[[#This Row],[Issue2]])</f>
        <v>2025</v>
      </c>
    </row>
    <row r="252" spans="1:32" x14ac:dyDescent="0.35">
      <c r="A252" s="4" t="s">
        <v>1676</v>
      </c>
      <c r="B252" t="s">
        <v>1677</v>
      </c>
      <c r="C252" t="s">
        <v>348</v>
      </c>
      <c r="D252" t="s">
        <v>1678</v>
      </c>
      <c r="E252" t="s">
        <v>1846</v>
      </c>
      <c r="F252" t="s">
        <v>1848</v>
      </c>
      <c r="I252">
        <v>4</v>
      </c>
      <c r="J252" t="s">
        <v>47</v>
      </c>
      <c r="K252" s="1">
        <v>45882</v>
      </c>
      <c r="L252" s="1"/>
      <c r="M252" s="1">
        <v>45838</v>
      </c>
      <c r="O252" s="1" t="s">
        <v>317</v>
      </c>
      <c r="P252" t="s">
        <v>79</v>
      </c>
      <c r="Q252" t="s">
        <v>65</v>
      </c>
      <c r="R252" t="s">
        <v>124</v>
      </c>
      <c r="S252" t="s">
        <v>45</v>
      </c>
      <c r="T252" t="s">
        <v>329</v>
      </c>
      <c r="U252" t="s">
        <v>30</v>
      </c>
      <c r="V252" s="1">
        <v>45895</v>
      </c>
      <c r="W252" s="1" t="s">
        <v>53</v>
      </c>
      <c r="X252" t="s">
        <v>32</v>
      </c>
      <c r="Y252" s="1">
        <v>45895</v>
      </c>
      <c r="AA252" t="s">
        <v>1339</v>
      </c>
      <c r="AB252" t="s">
        <v>243</v>
      </c>
      <c r="AC252" t="str">
        <f>INDEX('DB Description'!$A$1:$B$23,MATCH(Tabela2[[#This Row],[Filial DB code]],'DB Description'!A:A,),2)</f>
        <v>Bauko</v>
      </c>
      <c r="AD252" s="9">
        <f>Tabela2[[#This Row],[Issue2]]-Tabela2[[#This Row],[Failure2]]</f>
        <v>13</v>
      </c>
      <c r="AE252" t="str">
        <f t="shared" si="41"/>
        <v>FY2025</v>
      </c>
      <c r="AF252">
        <f>YEAR(Tabela2[[#This Row],[Issue2]])</f>
        <v>2025</v>
      </c>
    </row>
    <row r="253" spans="1:32" x14ac:dyDescent="0.35">
      <c r="A253" t="s">
        <v>1638</v>
      </c>
      <c r="B253" t="s">
        <v>1604</v>
      </c>
      <c r="C253" t="s">
        <v>348</v>
      </c>
      <c r="D253" t="s">
        <v>1639</v>
      </c>
      <c r="E253" t="s">
        <v>1846</v>
      </c>
      <c r="F253" t="s">
        <v>1851</v>
      </c>
      <c r="I253">
        <v>5809</v>
      </c>
      <c r="J253" t="s">
        <v>37</v>
      </c>
      <c r="K253" s="1">
        <v>45881</v>
      </c>
      <c r="L253" s="1"/>
      <c r="M253" s="1">
        <v>44985</v>
      </c>
      <c r="N253" s="1">
        <v>45114</v>
      </c>
      <c r="O253" s="1" t="s">
        <v>1049</v>
      </c>
      <c r="P253" t="s">
        <v>1418</v>
      </c>
      <c r="Q253" t="s">
        <v>116</v>
      </c>
      <c r="R253" t="s">
        <v>124</v>
      </c>
      <c r="S253" t="s">
        <v>45</v>
      </c>
      <c r="U253" t="s">
        <v>38</v>
      </c>
      <c r="V253" s="1">
        <v>45882</v>
      </c>
      <c r="W253" s="1" t="s">
        <v>53</v>
      </c>
      <c r="X253" t="s">
        <v>32</v>
      </c>
      <c r="Y253" s="1">
        <v>45882</v>
      </c>
      <c r="Z253" s="1" t="s">
        <v>1640</v>
      </c>
      <c r="AA253" t="s">
        <v>328</v>
      </c>
      <c r="AB253" t="s">
        <v>1520</v>
      </c>
      <c r="AC253" t="str">
        <f>INDEX('DB Description'!$A$1:$B$23,MATCH(Tabela2[[#This Row],[Filial DB code]],'DB Description'!A:A,),2)</f>
        <v>Bauko</v>
      </c>
      <c r="AD253" s="9">
        <f>Tabela2[[#This Row],[Issue2]]-Tabela2[[#This Row],[Failure2]]</f>
        <v>1</v>
      </c>
      <c r="AE253" t="str">
        <f t="shared" ref="AE253:AE256" si="42">"FY"&amp;IF(MONTH(Y253)&gt;=4,YEAR(Y253),YEAR(Y253)-1)</f>
        <v>FY2025</v>
      </c>
      <c r="AF253">
        <f>YEAR(Tabela2[[#This Row],[Issue2]])</f>
        <v>2025</v>
      </c>
    </row>
    <row r="254" spans="1:32" x14ac:dyDescent="0.35">
      <c r="A254" t="s">
        <v>1641</v>
      </c>
      <c r="B254" t="s">
        <v>1642</v>
      </c>
      <c r="C254" t="s">
        <v>348</v>
      </c>
      <c r="D254" t="s">
        <v>1162</v>
      </c>
      <c r="E254" t="s">
        <v>1846</v>
      </c>
      <c r="F254" t="s">
        <v>1900</v>
      </c>
      <c r="I254">
        <v>504</v>
      </c>
      <c r="J254" t="s">
        <v>47</v>
      </c>
      <c r="K254" s="1">
        <v>45877</v>
      </c>
      <c r="L254" s="1"/>
      <c r="M254" s="1">
        <v>45105</v>
      </c>
      <c r="N254" s="1">
        <v>45260</v>
      </c>
      <c r="O254" s="1" t="s">
        <v>1049</v>
      </c>
      <c r="P254" t="s">
        <v>116</v>
      </c>
      <c r="Q254" t="s">
        <v>116</v>
      </c>
      <c r="R254" t="s">
        <v>148</v>
      </c>
      <c r="S254" t="s">
        <v>45</v>
      </c>
      <c r="T254" t="s">
        <v>329</v>
      </c>
      <c r="U254" t="s">
        <v>30</v>
      </c>
      <c r="V254" s="1">
        <v>45881</v>
      </c>
      <c r="W254" s="1" t="s">
        <v>53</v>
      </c>
      <c r="X254" t="s">
        <v>32</v>
      </c>
      <c r="Y254" s="1">
        <v>45882</v>
      </c>
      <c r="AA254" t="s">
        <v>705</v>
      </c>
      <c r="AB254" t="s">
        <v>243</v>
      </c>
      <c r="AC254" t="str">
        <f>INDEX('DB Description'!$A$1:$B$23,MATCH(Tabela2[[#This Row],[Filial DB code]],'DB Description'!A:A,),2)</f>
        <v>Bauko</v>
      </c>
      <c r="AD254" s="9">
        <f>Tabela2[[#This Row],[Issue2]]-Tabela2[[#This Row],[Failure2]]</f>
        <v>5</v>
      </c>
      <c r="AE254" t="str">
        <f t="shared" si="42"/>
        <v>FY2025</v>
      </c>
      <c r="AF254">
        <f>YEAR(Tabela2[[#This Row],[Issue2]])</f>
        <v>2025</v>
      </c>
    </row>
    <row r="255" spans="1:32" x14ac:dyDescent="0.35">
      <c r="A255" t="s">
        <v>1643</v>
      </c>
      <c r="B255" t="s">
        <v>1644</v>
      </c>
      <c r="C255" t="s">
        <v>348</v>
      </c>
      <c r="D255" t="s">
        <v>260</v>
      </c>
      <c r="E255" t="s">
        <v>1901</v>
      </c>
      <c r="F255" t="s">
        <v>1902</v>
      </c>
      <c r="G255" t="s">
        <v>1185</v>
      </c>
      <c r="I255">
        <v>326</v>
      </c>
      <c r="J255" t="s">
        <v>47</v>
      </c>
      <c r="K255" s="1">
        <v>45868</v>
      </c>
      <c r="L255" s="1"/>
      <c r="M255" s="1">
        <v>45735</v>
      </c>
      <c r="N255" s="1">
        <v>45861</v>
      </c>
      <c r="O255" s="1" t="s">
        <v>1645</v>
      </c>
      <c r="P255" t="s">
        <v>468</v>
      </c>
      <c r="Q255" t="s">
        <v>155</v>
      </c>
      <c r="R255" t="s">
        <v>40</v>
      </c>
      <c r="S255" t="s">
        <v>45</v>
      </c>
      <c r="T255" t="s">
        <v>329</v>
      </c>
      <c r="U255" t="s">
        <v>30</v>
      </c>
      <c r="V255" s="1">
        <v>45880</v>
      </c>
      <c r="W255" s="1" t="s">
        <v>46</v>
      </c>
      <c r="X255" t="s">
        <v>32</v>
      </c>
      <c r="Y255" s="1">
        <v>45880</v>
      </c>
      <c r="Z255" s="1" t="s">
        <v>1646</v>
      </c>
      <c r="AA255" t="s">
        <v>543</v>
      </c>
      <c r="AB255" t="s">
        <v>1518</v>
      </c>
      <c r="AC255" t="str">
        <f>INDEX('DB Description'!$A$1:$B$23,MATCH(Tabela2[[#This Row],[Filial DB code]],'DB Description'!A:A,),2)</f>
        <v xml:space="preserve">Vianmaq </v>
      </c>
      <c r="AD255" s="9">
        <f>Tabela2[[#This Row],[Issue2]]-Tabela2[[#This Row],[Failure2]]</f>
        <v>12</v>
      </c>
      <c r="AE255" t="str">
        <f t="shared" si="42"/>
        <v>FY2025</v>
      </c>
      <c r="AF255">
        <f>YEAR(Tabela2[[#This Row],[Issue2]])</f>
        <v>2025</v>
      </c>
    </row>
    <row r="256" spans="1:32" x14ac:dyDescent="0.35">
      <c r="A256" s="4" t="s">
        <v>1632</v>
      </c>
      <c r="B256" t="s">
        <v>1633</v>
      </c>
      <c r="C256" t="s">
        <v>348</v>
      </c>
      <c r="D256" t="s">
        <v>1634</v>
      </c>
      <c r="E256" t="s">
        <v>1846</v>
      </c>
      <c r="F256" t="s">
        <v>1848</v>
      </c>
      <c r="G256" t="s">
        <v>1635</v>
      </c>
      <c r="I256">
        <v>5</v>
      </c>
      <c r="J256" t="s">
        <v>47</v>
      </c>
      <c r="K256" s="1">
        <v>45870</v>
      </c>
      <c r="L256" s="1"/>
      <c r="M256" s="1">
        <v>45770</v>
      </c>
      <c r="O256" s="1" t="s">
        <v>1636</v>
      </c>
      <c r="P256" t="s">
        <v>232</v>
      </c>
      <c r="Q256" t="s">
        <v>116</v>
      </c>
      <c r="R256" t="s">
        <v>34</v>
      </c>
      <c r="S256" t="s">
        <v>45</v>
      </c>
      <c r="T256" t="s">
        <v>329</v>
      </c>
      <c r="U256" t="s">
        <v>30</v>
      </c>
      <c r="V256" s="1">
        <v>45877</v>
      </c>
      <c r="W256" s="1" t="s">
        <v>53</v>
      </c>
      <c r="X256" t="s">
        <v>32</v>
      </c>
      <c r="Y256" s="1">
        <v>45877</v>
      </c>
      <c r="AA256" t="s">
        <v>749</v>
      </c>
      <c r="AB256" t="s">
        <v>1512</v>
      </c>
      <c r="AC256" t="str">
        <f>INDEX('DB Description'!$A$1:$B$23,MATCH(Tabela2[[#This Row],[Filial DB code]],'DB Description'!A:A,),2)</f>
        <v>Bauko</v>
      </c>
      <c r="AD256" s="9">
        <f>Tabela2[[#This Row],[Issue2]]-Tabela2[[#This Row],[Failure2]]</f>
        <v>7</v>
      </c>
      <c r="AE256" t="str">
        <f t="shared" si="42"/>
        <v>FY2025</v>
      </c>
      <c r="AF256">
        <f>YEAR(Tabela2[[#This Row],[Issue2]])</f>
        <v>2025</v>
      </c>
    </row>
    <row r="257" spans="1:32" x14ac:dyDescent="0.35">
      <c r="A257" t="s">
        <v>1611</v>
      </c>
      <c r="B257" t="s">
        <v>1612</v>
      </c>
      <c r="C257" t="s">
        <v>348</v>
      </c>
      <c r="D257" t="s">
        <v>1613</v>
      </c>
      <c r="E257" t="s">
        <v>1878</v>
      </c>
      <c r="F257" t="s">
        <v>681</v>
      </c>
      <c r="G257" t="s">
        <v>1614</v>
      </c>
      <c r="I257">
        <v>5.3</v>
      </c>
      <c r="J257" t="s">
        <v>47</v>
      </c>
      <c r="K257" s="1">
        <v>45828</v>
      </c>
      <c r="L257" s="1">
        <v>45828</v>
      </c>
      <c r="M257" s="1">
        <v>45772</v>
      </c>
      <c r="N257" s="1">
        <v>45831</v>
      </c>
      <c r="O257" s="1" t="s">
        <v>635</v>
      </c>
      <c r="P257" t="s">
        <v>572</v>
      </c>
      <c r="Q257" t="s">
        <v>42</v>
      </c>
      <c r="R257" t="s">
        <v>229</v>
      </c>
      <c r="S257" t="s">
        <v>45</v>
      </c>
      <c r="T257" t="s">
        <v>329</v>
      </c>
      <c r="U257" t="s">
        <v>30</v>
      </c>
      <c r="V257" s="1">
        <v>45868</v>
      </c>
      <c r="W257" s="1" t="s">
        <v>46</v>
      </c>
      <c r="X257" t="s">
        <v>32</v>
      </c>
      <c r="Y257" s="1">
        <v>45868</v>
      </c>
      <c r="Z257" s="1" t="s">
        <v>1615</v>
      </c>
      <c r="AA257" t="s">
        <v>543</v>
      </c>
      <c r="AB257" t="s">
        <v>1518</v>
      </c>
      <c r="AC257" t="str">
        <f>INDEX('DB Description'!$A$1:$B$23,MATCH(Tabela2[[#This Row],[Filial DB code]],'DB Description'!A:A,),2)</f>
        <v xml:space="preserve">Vianmaq </v>
      </c>
      <c r="AD257" s="9">
        <f>Tabela2[[#This Row],[Issue2]]-Tabela2[[#This Row],[Failure2]]</f>
        <v>40</v>
      </c>
      <c r="AE257" t="str">
        <f t="shared" ref="AE257:AE264" si="43">"FY"&amp;IF(MONTH(Y257)&gt;=4,YEAR(Y257),YEAR(Y257)-1)</f>
        <v>FY2025</v>
      </c>
      <c r="AF257">
        <f>YEAR(Tabela2[[#This Row],[Issue2]])</f>
        <v>2025</v>
      </c>
    </row>
    <row r="258" spans="1:32" x14ac:dyDescent="0.35">
      <c r="A258" t="s">
        <v>1616</v>
      </c>
      <c r="B258" t="s">
        <v>1617</v>
      </c>
      <c r="C258" t="s">
        <v>348</v>
      </c>
      <c r="D258" t="s">
        <v>256</v>
      </c>
      <c r="E258" t="s">
        <v>1847</v>
      </c>
      <c r="F258" t="s">
        <v>1883</v>
      </c>
      <c r="I258">
        <v>1153</v>
      </c>
      <c r="J258" t="s">
        <v>37</v>
      </c>
      <c r="K258" s="1">
        <v>45860</v>
      </c>
      <c r="L258" s="1"/>
      <c r="M258" s="1">
        <v>45649</v>
      </c>
      <c r="N258" s="1">
        <v>45707</v>
      </c>
      <c r="O258" s="1" t="s">
        <v>244</v>
      </c>
      <c r="P258" t="s">
        <v>169</v>
      </c>
      <c r="Q258" t="s">
        <v>78</v>
      </c>
      <c r="R258" t="s">
        <v>1398</v>
      </c>
      <c r="S258" t="s">
        <v>45</v>
      </c>
      <c r="U258" t="s">
        <v>38</v>
      </c>
      <c r="V258" s="1">
        <v>45867</v>
      </c>
      <c r="W258" s="1" t="s">
        <v>53</v>
      </c>
      <c r="X258" t="s">
        <v>32</v>
      </c>
      <c r="Y258" s="1">
        <v>45867</v>
      </c>
      <c r="Z258" s="1" t="s">
        <v>1618</v>
      </c>
      <c r="AA258" t="s">
        <v>328</v>
      </c>
      <c r="AB258" t="s">
        <v>1520</v>
      </c>
      <c r="AC258" t="str">
        <f>INDEX('DB Description'!$A$1:$B$23,MATCH(Tabela2[[#This Row],[Filial DB code]],'DB Description'!A:A,),2)</f>
        <v>Bauko</v>
      </c>
      <c r="AD258" s="9">
        <f>Tabela2[[#This Row],[Issue2]]-Tabela2[[#This Row],[Failure2]]</f>
        <v>7</v>
      </c>
      <c r="AE258" t="str">
        <f t="shared" si="43"/>
        <v>FY2025</v>
      </c>
      <c r="AF258">
        <f>YEAR(Tabela2[[#This Row],[Issue2]])</f>
        <v>2025</v>
      </c>
    </row>
    <row r="259" spans="1:32" x14ac:dyDescent="0.35">
      <c r="A259" t="s">
        <v>1619</v>
      </c>
      <c r="B259" t="s">
        <v>1620</v>
      </c>
      <c r="C259" t="s">
        <v>348</v>
      </c>
      <c r="D259" t="s">
        <v>92</v>
      </c>
      <c r="E259" t="s">
        <v>1850</v>
      </c>
      <c r="F259" t="s">
        <v>1849</v>
      </c>
      <c r="H259" t="s">
        <v>1621</v>
      </c>
      <c r="I259">
        <v>1750</v>
      </c>
      <c r="J259" t="s">
        <v>37</v>
      </c>
      <c r="K259" s="1">
        <v>45846</v>
      </c>
      <c r="L259" s="1"/>
      <c r="M259" s="1">
        <v>45376</v>
      </c>
      <c r="N259" s="1">
        <v>45447</v>
      </c>
      <c r="O259" s="1" t="s">
        <v>1213</v>
      </c>
      <c r="P259" t="s">
        <v>157</v>
      </c>
      <c r="Q259" t="s">
        <v>65</v>
      </c>
      <c r="R259" t="s">
        <v>124</v>
      </c>
      <c r="S259" t="s">
        <v>45</v>
      </c>
      <c r="U259" t="s">
        <v>38</v>
      </c>
      <c r="V259" s="1">
        <v>45866</v>
      </c>
      <c r="W259" s="1" t="s">
        <v>53</v>
      </c>
      <c r="X259" t="s">
        <v>32</v>
      </c>
      <c r="Y259" s="1">
        <v>45866</v>
      </c>
      <c r="Z259" s="1" t="s">
        <v>1622</v>
      </c>
      <c r="AA259" t="s">
        <v>328</v>
      </c>
      <c r="AB259" t="s">
        <v>1520</v>
      </c>
      <c r="AC259" t="str">
        <f>INDEX('DB Description'!$A$1:$B$23,MATCH(Tabela2[[#This Row],[Filial DB code]],'DB Description'!A:A,),2)</f>
        <v>Bauko</v>
      </c>
      <c r="AD259" s="9">
        <f>Tabela2[[#This Row],[Issue2]]-Tabela2[[#This Row],[Failure2]]</f>
        <v>20</v>
      </c>
      <c r="AE259" t="str">
        <f t="shared" si="43"/>
        <v>FY2025</v>
      </c>
      <c r="AF259">
        <f>YEAR(Tabela2[[#This Row],[Issue2]])</f>
        <v>2025</v>
      </c>
    </row>
    <row r="260" spans="1:32" x14ac:dyDescent="0.35">
      <c r="A260" t="s">
        <v>1623</v>
      </c>
      <c r="B260" t="s">
        <v>1624</v>
      </c>
      <c r="C260" t="s">
        <v>348</v>
      </c>
      <c r="D260" t="s">
        <v>311</v>
      </c>
      <c r="E260" t="s">
        <v>1850</v>
      </c>
      <c r="F260" t="s">
        <v>1849</v>
      </c>
      <c r="H260" t="s">
        <v>1621</v>
      </c>
      <c r="I260">
        <v>2965</v>
      </c>
      <c r="J260" t="s">
        <v>37</v>
      </c>
      <c r="K260" s="1">
        <v>45866</v>
      </c>
      <c r="L260" s="1"/>
      <c r="M260" s="1">
        <v>45195</v>
      </c>
      <c r="N260" s="1">
        <v>45260</v>
      </c>
      <c r="O260" s="1" t="s">
        <v>1213</v>
      </c>
      <c r="P260" t="s">
        <v>133</v>
      </c>
      <c r="Q260" t="s">
        <v>65</v>
      </c>
      <c r="R260" t="s">
        <v>124</v>
      </c>
      <c r="S260" t="s">
        <v>45</v>
      </c>
      <c r="U260" t="s">
        <v>38</v>
      </c>
      <c r="V260" s="1">
        <v>45866</v>
      </c>
      <c r="W260" s="1" t="s">
        <v>53</v>
      </c>
      <c r="X260" t="s">
        <v>32</v>
      </c>
      <c r="Y260" s="1">
        <v>45866</v>
      </c>
      <c r="Z260" s="1" t="s">
        <v>1622</v>
      </c>
      <c r="AA260" t="s">
        <v>328</v>
      </c>
      <c r="AB260" t="s">
        <v>1520</v>
      </c>
      <c r="AC260" t="str">
        <f>INDEX('DB Description'!$A$1:$B$23,MATCH(Tabela2[[#This Row],[Filial DB code]],'DB Description'!A:A,),2)</f>
        <v>Bauko</v>
      </c>
      <c r="AD260" s="9">
        <f>Tabela2[[#This Row],[Issue2]]-Tabela2[[#This Row],[Failure2]]</f>
        <v>0</v>
      </c>
      <c r="AE260" t="str">
        <f t="shared" si="43"/>
        <v>FY2025</v>
      </c>
      <c r="AF260">
        <f>YEAR(Tabela2[[#This Row],[Issue2]])</f>
        <v>2025</v>
      </c>
    </row>
    <row r="261" spans="1:32" x14ac:dyDescent="0.35">
      <c r="A261" t="s">
        <v>1625</v>
      </c>
      <c r="B261" t="s">
        <v>1626</v>
      </c>
      <c r="C261" t="s">
        <v>348</v>
      </c>
      <c r="D261" t="s">
        <v>900</v>
      </c>
      <c r="E261" t="s">
        <v>1850</v>
      </c>
      <c r="F261" t="s">
        <v>1849</v>
      </c>
      <c r="H261" t="s">
        <v>1621</v>
      </c>
      <c r="I261">
        <v>3505</v>
      </c>
      <c r="J261" t="s">
        <v>37</v>
      </c>
      <c r="K261" s="1">
        <v>45859</v>
      </c>
      <c r="L261" s="1"/>
      <c r="M261" s="1">
        <v>45208</v>
      </c>
      <c r="N261" s="1">
        <v>45352</v>
      </c>
      <c r="O261" s="1" t="s">
        <v>1213</v>
      </c>
      <c r="P261" t="s">
        <v>235</v>
      </c>
      <c r="Q261" t="s">
        <v>65</v>
      </c>
      <c r="R261" t="s">
        <v>124</v>
      </c>
      <c r="S261" t="s">
        <v>45</v>
      </c>
      <c r="U261" t="s">
        <v>38</v>
      </c>
      <c r="V261" s="1">
        <v>45866</v>
      </c>
      <c r="W261" s="1" t="s">
        <v>53</v>
      </c>
      <c r="X261" t="s">
        <v>32</v>
      </c>
      <c r="Y261" s="1">
        <v>45866</v>
      </c>
      <c r="Z261" s="1" t="s">
        <v>1627</v>
      </c>
      <c r="AA261" t="s">
        <v>328</v>
      </c>
      <c r="AB261" t="s">
        <v>1520</v>
      </c>
      <c r="AC261" t="str">
        <f>INDEX('DB Description'!$A$1:$B$23,MATCH(Tabela2[[#This Row],[Filial DB code]],'DB Description'!A:A,),2)</f>
        <v>Bauko</v>
      </c>
      <c r="AD261" s="9">
        <f>Tabela2[[#This Row],[Issue2]]-Tabela2[[#This Row],[Failure2]]</f>
        <v>7</v>
      </c>
      <c r="AE261" t="str">
        <f t="shared" si="43"/>
        <v>FY2025</v>
      </c>
      <c r="AF261">
        <f>YEAR(Tabela2[[#This Row],[Issue2]])</f>
        <v>2025</v>
      </c>
    </row>
    <row r="262" spans="1:32" x14ac:dyDescent="0.35">
      <c r="A262" t="s">
        <v>1628</v>
      </c>
      <c r="B262" t="s">
        <v>1629</v>
      </c>
      <c r="C262" t="s">
        <v>1135</v>
      </c>
      <c r="D262" t="s">
        <v>294</v>
      </c>
      <c r="E262" t="s">
        <v>1884</v>
      </c>
      <c r="F262" t="s">
        <v>1903</v>
      </c>
      <c r="G262" t="s">
        <v>1630</v>
      </c>
      <c r="I262">
        <v>10</v>
      </c>
      <c r="J262" t="s">
        <v>332</v>
      </c>
      <c r="K262" s="1">
        <v>45843</v>
      </c>
      <c r="L262" s="1"/>
      <c r="M262" s="1">
        <v>45656</v>
      </c>
      <c r="N262" s="1">
        <v>45843</v>
      </c>
      <c r="O262" s="1" t="s">
        <v>885</v>
      </c>
      <c r="P262" t="s">
        <v>1155</v>
      </c>
      <c r="Q262" t="s">
        <v>204</v>
      </c>
      <c r="R262" t="s">
        <v>70</v>
      </c>
      <c r="S262" t="s">
        <v>45</v>
      </c>
      <c r="T262" t="s">
        <v>329</v>
      </c>
      <c r="U262" t="s">
        <v>30</v>
      </c>
      <c r="V262" s="1">
        <v>45863</v>
      </c>
      <c r="W262" s="1" t="s">
        <v>61</v>
      </c>
      <c r="X262" t="s">
        <v>32</v>
      </c>
      <c r="Y262" s="1">
        <v>45866</v>
      </c>
      <c r="AA262" t="s">
        <v>1095</v>
      </c>
      <c r="AB262" t="s">
        <v>1631</v>
      </c>
      <c r="AC262" t="str">
        <f>INDEX('DB Description'!$A$1:$B$23,MATCH(Tabela2[[#This Row],[Filial DB code]],'DB Description'!A:A,),2)</f>
        <v>VAMOS (2131F)</v>
      </c>
      <c r="AD262" s="9">
        <f>Tabela2[[#This Row],[Issue2]]-Tabela2[[#This Row],[Failure2]]</f>
        <v>23</v>
      </c>
      <c r="AE262" t="str">
        <f t="shared" si="43"/>
        <v>FY2025</v>
      </c>
      <c r="AF262">
        <f>YEAR(Tabela2[[#This Row],[Issue2]])</f>
        <v>2025</v>
      </c>
    </row>
    <row r="263" spans="1:32" x14ac:dyDescent="0.35">
      <c r="A263" t="s">
        <v>1603</v>
      </c>
      <c r="B263" t="s">
        <v>1604</v>
      </c>
      <c r="C263" t="s">
        <v>348</v>
      </c>
      <c r="D263" t="s">
        <v>1605</v>
      </c>
      <c r="E263" t="s">
        <v>1846</v>
      </c>
      <c r="F263" t="s">
        <v>1851</v>
      </c>
      <c r="I263">
        <v>3898</v>
      </c>
      <c r="J263" t="s">
        <v>37</v>
      </c>
      <c r="K263" s="1">
        <v>45862</v>
      </c>
      <c r="L263" s="1"/>
      <c r="M263" s="1">
        <v>45140</v>
      </c>
      <c r="N263" s="1">
        <v>45239</v>
      </c>
      <c r="O263" s="1" t="s">
        <v>1049</v>
      </c>
      <c r="P263" t="s">
        <v>1418</v>
      </c>
      <c r="Q263" t="s">
        <v>116</v>
      </c>
      <c r="R263" t="s">
        <v>124</v>
      </c>
      <c r="S263" t="s">
        <v>45</v>
      </c>
      <c r="U263" t="s">
        <v>38</v>
      </c>
      <c r="V263" s="1">
        <v>45863</v>
      </c>
      <c r="W263" s="1" t="s">
        <v>53</v>
      </c>
      <c r="X263" t="s">
        <v>32</v>
      </c>
      <c r="Y263" s="1">
        <v>45863</v>
      </c>
      <c r="Z263" s="1" t="s">
        <v>1606</v>
      </c>
      <c r="AA263" t="s">
        <v>328</v>
      </c>
      <c r="AB263" t="s">
        <v>1520</v>
      </c>
      <c r="AC263" t="str">
        <f>INDEX('DB Description'!$A$1:$B$23,MATCH(Tabela2[[#This Row],[Filial DB code]],'DB Description'!A:A,),2)</f>
        <v>Bauko</v>
      </c>
      <c r="AD263" s="9">
        <f>Tabela2[[#This Row],[Issue2]]-Tabela2[[#This Row],[Failure2]]</f>
        <v>1</v>
      </c>
      <c r="AE263" t="str">
        <f t="shared" si="43"/>
        <v>FY2025</v>
      </c>
      <c r="AF263">
        <f>YEAR(Tabela2[[#This Row],[Issue2]])</f>
        <v>2025</v>
      </c>
    </row>
    <row r="264" spans="1:32" x14ac:dyDescent="0.35">
      <c r="A264" t="s">
        <v>1607</v>
      </c>
      <c r="B264" t="s">
        <v>1608</v>
      </c>
      <c r="C264" t="s">
        <v>348</v>
      </c>
      <c r="D264" t="s">
        <v>596</v>
      </c>
      <c r="E264" t="s">
        <v>1864</v>
      </c>
      <c r="F264" t="s">
        <v>1863</v>
      </c>
      <c r="G264" t="s">
        <v>1609</v>
      </c>
      <c r="H264" t="s">
        <v>1637</v>
      </c>
      <c r="I264">
        <v>140</v>
      </c>
      <c r="J264" t="s">
        <v>37</v>
      </c>
      <c r="K264" s="1">
        <v>45800</v>
      </c>
      <c r="L264" s="1">
        <v>45834</v>
      </c>
      <c r="M264" s="1">
        <v>45715</v>
      </c>
      <c r="N264" s="1">
        <v>45727</v>
      </c>
      <c r="O264" s="1" t="s">
        <v>293</v>
      </c>
      <c r="P264" t="s">
        <v>69</v>
      </c>
      <c r="Q264" t="s">
        <v>204</v>
      </c>
      <c r="R264" t="s">
        <v>304</v>
      </c>
      <c r="S264" t="s">
        <v>45</v>
      </c>
      <c r="U264" t="s">
        <v>38</v>
      </c>
      <c r="V264" s="1">
        <v>45862</v>
      </c>
      <c r="W264" s="1" t="s">
        <v>46</v>
      </c>
      <c r="X264" t="s">
        <v>32</v>
      </c>
      <c r="Y264" s="1">
        <v>45862</v>
      </c>
      <c r="Z264" s="1" t="s">
        <v>1610</v>
      </c>
      <c r="AA264" t="s">
        <v>543</v>
      </c>
      <c r="AB264" t="s">
        <v>1518</v>
      </c>
      <c r="AC264" t="str">
        <f>INDEX('DB Description'!$A$1:$B$23,MATCH(Tabela2[[#This Row],[Filial DB code]],'DB Description'!A:A,),2)</f>
        <v xml:space="preserve">Vianmaq </v>
      </c>
      <c r="AD264" s="9">
        <f>Tabela2[[#This Row],[Issue2]]-Tabela2[[#This Row],[Failure2]]</f>
        <v>62</v>
      </c>
      <c r="AE264" t="str">
        <f t="shared" si="43"/>
        <v>FY2025</v>
      </c>
      <c r="AF264">
        <f>YEAR(Tabela2[[#This Row],[Issue2]])</f>
        <v>2025</v>
      </c>
    </row>
    <row r="265" spans="1:32" x14ac:dyDescent="0.35">
      <c r="A265" t="s">
        <v>1579</v>
      </c>
      <c r="B265" t="s">
        <v>1569</v>
      </c>
      <c r="C265" t="s">
        <v>348</v>
      </c>
      <c r="D265" t="s">
        <v>88</v>
      </c>
      <c r="E265" t="s">
        <v>1846</v>
      </c>
      <c r="F265" t="s">
        <v>1851</v>
      </c>
      <c r="I265">
        <v>1850</v>
      </c>
      <c r="J265" t="s">
        <v>37</v>
      </c>
      <c r="K265" s="1">
        <v>45848</v>
      </c>
      <c r="L265" s="1"/>
      <c r="M265" s="1">
        <v>45244</v>
      </c>
      <c r="N265" s="1">
        <v>45623</v>
      </c>
      <c r="O265" s="1" t="s">
        <v>1470</v>
      </c>
      <c r="P265" t="s">
        <v>116</v>
      </c>
      <c r="Q265" t="s">
        <v>116</v>
      </c>
      <c r="R265" t="s">
        <v>40</v>
      </c>
      <c r="S265" t="s">
        <v>45</v>
      </c>
      <c r="U265" t="s">
        <v>38</v>
      </c>
      <c r="V265" s="1">
        <v>45857</v>
      </c>
      <c r="W265" s="1" t="s">
        <v>53</v>
      </c>
      <c r="X265" t="s">
        <v>32</v>
      </c>
      <c r="Y265" s="1">
        <v>45857</v>
      </c>
      <c r="Z265" s="1" t="s">
        <v>1580</v>
      </c>
      <c r="AA265" t="s">
        <v>328</v>
      </c>
      <c r="AB265" t="s">
        <v>1520</v>
      </c>
      <c r="AC265" t="str">
        <f>INDEX('DB Description'!$A$1:$B$23,MATCH(Tabela2[[#This Row],[Filial DB code]],'DB Description'!A:A,),2)</f>
        <v>Bauko</v>
      </c>
      <c r="AD265" s="9">
        <f>Tabela2[[#This Row],[Issue2]]-Tabela2[[#This Row],[Failure2]]</f>
        <v>9</v>
      </c>
      <c r="AE265" t="str">
        <f t="shared" ref="AE265:AE269" si="44">"FY"&amp;IF(MONTH(Y265)&gt;=4,YEAR(Y265),YEAR(Y265)-1)</f>
        <v>FY2025</v>
      </c>
      <c r="AF265">
        <f>YEAR(Tabela2[[#This Row],[Issue2]])</f>
        <v>2025</v>
      </c>
    </row>
    <row r="266" spans="1:32" x14ac:dyDescent="0.35">
      <c r="A266" t="s">
        <v>1581</v>
      </c>
      <c r="B266" t="s">
        <v>1582</v>
      </c>
      <c r="C266" t="s">
        <v>348</v>
      </c>
      <c r="D266" t="s">
        <v>1583</v>
      </c>
      <c r="E266" t="s">
        <v>1846</v>
      </c>
      <c r="F266" t="s">
        <v>1854</v>
      </c>
      <c r="G266" t="s">
        <v>1581</v>
      </c>
      <c r="I266">
        <v>1282</v>
      </c>
      <c r="J266" t="s">
        <v>37</v>
      </c>
      <c r="K266" s="1">
        <v>45828</v>
      </c>
      <c r="L266" s="1"/>
      <c r="M266" s="1">
        <v>45230</v>
      </c>
      <c r="N266" s="1">
        <v>45496</v>
      </c>
      <c r="O266" s="1" t="s">
        <v>1049</v>
      </c>
      <c r="P266" t="s">
        <v>1584</v>
      </c>
      <c r="Q266" t="s">
        <v>71</v>
      </c>
      <c r="R266" t="s">
        <v>43</v>
      </c>
      <c r="S266" t="s">
        <v>45</v>
      </c>
      <c r="U266" t="s">
        <v>38</v>
      </c>
      <c r="V266" s="1">
        <v>45857</v>
      </c>
      <c r="W266" s="1" t="s">
        <v>53</v>
      </c>
      <c r="X266" t="s">
        <v>32</v>
      </c>
      <c r="Y266" s="1">
        <v>45857</v>
      </c>
      <c r="Z266" s="1" t="s">
        <v>1585</v>
      </c>
      <c r="AA266" t="s">
        <v>328</v>
      </c>
      <c r="AB266" t="s">
        <v>1520</v>
      </c>
      <c r="AC266" t="str">
        <f>INDEX('DB Description'!$A$1:$B$23,MATCH(Tabela2[[#This Row],[Filial DB code]],'DB Description'!A:A,),2)</f>
        <v>Bauko</v>
      </c>
      <c r="AD266" s="9">
        <f>Tabela2[[#This Row],[Issue2]]-Tabela2[[#This Row],[Failure2]]</f>
        <v>29</v>
      </c>
      <c r="AE266" t="str">
        <f t="shared" si="44"/>
        <v>FY2025</v>
      </c>
      <c r="AF266">
        <f>YEAR(Tabela2[[#This Row],[Issue2]])</f>
        <v>2025</v>
      </c>
    </row>
    <row r="267" spans="1:32" x14ac:dyDescent="0.35">
      <c r="A267" t="s">
        <v>1586</v>
      </c>
      <c r="B267" t="s">
        <v>1587</v>
      </c>
      <c r="C267" t="s">
        <v>348</v>
      </c>
      <c r="D267" t="s">
        <v>1383</v>
      </c>
      <c r="E267" t="s">
        <v>1864</v>
      </c>
      <c r="F267" t="s">
        <v>1863</v>
      </c>
      <c r="G267" t="s">
        <v>1588</v>
      </c>
      <c r="H267" t="s">
        <v>1637</v>
      </c>
      <c r="I267">
        <v>776</v>
      </c>
      <c r="J267" t="s">
        <v>37</v>
      </c>
      <c r="K267" s="1">
        <v>45849</v>
      </c>
      <c r="L267" s="1"/>
      <c r="M267" s="1">
        <v>45646</v>
      </c>
      <c r="N267" s="1">
        <v>45663</v>
      </c>
      <c r="O267" s="1" t="s">
        <v>1589</v>
      </c>
      <c r="P267" t="s">
        <v>69</v>
      </c>
      <c r="Q267" t="s">
        <v>204</v>
      </c>
      <c r="R267" t="s">
        <v>304</v>
      </c>
      <c r="S267" t="s">
        <v>45</v>
      </c>
      <c r="U267" t="s">
        <v>38</v>
      </c>
      <c r="V267" s="1">
        <v>45856</v>
      </c>
      <c r="W267" s="1" t="s">
        <v>46</v>
      </c>
      <c r="X267" t="s">
        <v>32</v>
      </c>
      <c r="Y267" s="1">
        <v>45856</v>
      </c>
      <c r="Z267" s="1" t="s">
        <v>1590</v>
      </c>
      <c r="AA267" t="s">
        <v>543</v>
      </c>
      <c r="AB267" t="s">
        <v>1518</v>
      </c>
      <c r="AC267" t="str">
        <f>INDEX('DB Description'!$A$1:$B$23,MATCH(Tabela2[[#This Row],[Filial DB code]],'DB Description'!A:A,),2)</f>
        <v xml:space="preserve">Vianmaq </v>
      </c>
      <c r="AD267" s="9">
        <f>Tabela2[[#This Row],[Issue2]]-Tabela2[[#This Row],[Failure2]]</f>
        <v>7</v>
      </c>
      <c r="AE267" t="str">
        <f t="shared" si="44"/>
        <v>FY2025</v>
      </c>
      <c r="AF267">
        <f>YEAR(Tabela2[[#This Row],[Issue2]])</f>
        <v>2025</v>
      </c>
    </row>
    <row r="268" spans="1:32" x14ac:dyDescent="0.35">
      <c r="A268" t="s">
        <v>1591</v>
      </c>
      <c r="B268" t="s">
        <v>1592</v>
      </c>
      <c r="C268" t="s">
        <v>348</v>
      </c>
      <c r="D268" t="s">
        <v>1593</v>
      </c>
      <c r="E268" t="s">
        <v>1846</v>
      </c>
      <c r="F268" t="s">
        <v>1851</v>
      </c>
      <c r="I268">
        <v>3517</v>
      </c>
      <c r="J268" t="s">
        <v>37</v>
      </c>
      <c r="K268" s="1">
        <v>45852</v>
      </c>
      <c r="L268" s="1"/>
      <c r="M268" s="1">
        <v>45071</v>
      </c>
      <c r="N268" s="1">
        <v>45083</v>
      </c>
      <c r="O268" s="1" t="s">
        <v>1049</v>
      </c>
      <c r="P268" t="s">
        <v>116</v>
      </c>
      <c r="Q268" t="s">
        <v>116</v>
      </c>
      <c r="R268" t="s">
        <v>34</v>
      </c>
      <c r="S268" t="s">
        <v>45</v>
      </c>
      <c r="U268" t="s">
        <v>38</v>
      </c>
      <c r="V268" s="1">
        <v>45855</v>
      </c>
      <c r="W268" s="1" t="s">
        <v>53</v>
      </c>
      <c r="X268" t="s">
        <v>32</v>
      </c>
      <c r="Y268" s="1">
        <v>45857</v>
      </c>
      <c r="Z268" s="1" t="s">
        <v>1594</v>
      </c>
      <c r="AA268" t="s">
        <v>328</v>
      </c>
      <c r="AB268" t="s">
        <v>1520</v>
      </c>
      <c r="AC268" t="str">
        <f>INDEX('DB Description'!$A$1:$B$23,MATCH(Tabela2[[#This Row],[Filial DB code]],'DB Description'!A:A,),2)</f>
        <v>Bauko</v>
      </c>
      <c r="AD268" s="9">
        <f>Tabela2[[#This Row],[Issue2]]-Tabela2[[#This Row],[Failure2]]</f>
        <v>5</v>
      </c>
      <c r="AE268" t="str">
        <f t="shared" si="44"/>
        <v>FY2025</v>
      </c>
      <c r="AF268">
        <f>YEAR(Tabela2[[#This Row],[Issue2]])</f>
        <v>2025</v>
      </c>
    </row>
    <row r="269" spans="1:32" x14ac:dyDescent="0.35">
      <c r="A269" t="s">
        <v>1595</v>
      </c>
      <c r="B269" t="s">
        <v>1596</v>
      </c>
      <c r="C269" t="s">
        <v>348</v>
      </c>
      <c r="D269" t="s">
        <v>1597</v>
      </c>
      <c r="E269" t="s">
        <v>1864</v>
      </c>
      <c r="F269" t="s">
        <v>1863</v>
      </c>
      <c r="G269" t="s">
        <v>1598</v>
      </c>
      <c r="H269" t="s">
        <v>1637</v>
      </c>
      <c r="I269">
        <v>709</v>
      </c>
      <c r="J269" t="s">
        <v>37</v>
      </c>
      <c r="K269" s="1">
        <v>45804</v>
      </c>
      <c r="L269" s="1">
        <v>45841</v>
      </c>
      <c r="M269" s="1">
        <v>45593</v>
      </c>
      <c r="N269" s="1">
        <v>45615</v>
      </c>
      <c r="O269" s="1" t="s">
        <v>293</v>
      </c>
      <c r="P269" t="s">
        <v>69</v>
      </c>
      <c r="Q269" t="s">
        <v>204</v>
      </c>
      <c r="R269" t="s">
        <v>304</v>
      </c>
      <c r="S269" t="s">
        <v>45</v>
      </c>
      <c r="U269" t="s">
        <v>38</v>
      </c>
      <c r="V269" s="1">
        <v>45853</v>
      </c>
      <c r="W269" s="1" t="s">
        <v>46</v>
      </c>
      <c r="X269" t="s">
        <v>32</v>
      </c>
      <c r="Y269" s="1">
        <v>45853</v>
      </c>
      <c r="Z269" s="1" t="s">
        <v>1599</v>
      </c>
      <c r="AA269" t="s">
        <v>543</v>
      </c>
      <c r="AB269" t="s">
        <v>1518</v>
      </c>
      <c r="AC269" t="str">
        <f>INDEX('DB Description'!$A$1:$B$23,MATCH(Tabela2[[#This Row],[Filial DB code]],'DB Description'!A:A,),2)</f>
        <v xml:space="preserve">Vianmaq </v>
      </c>
      <c r="AD269" s="9">
        <f>Tabela2[[#This Row],[Issue2]]-Tabela2[[#This Row],[Failure2]]</f>
        <v>49</v>
      </c>
      <c r="AE269" t="str">
        <f t="shared" si="44"/>
        <v>FY2025</v>
      </c>
      <c r="AF269">
        <f>YEAR(Tabela2[[#This Row],[Issue2]])</f>
        <v>2025</v>
      </c>
    </row>
    <row r="270" spans="1:32" x14ac:dyDescent="0.35">
      <c r="A270" t="s">
        <v>1568</v>
      </c>
      <c r="B270" t="s">
        <v>1569</v>
      </c>
      <c r="C270" t="s">
        <v>348</v>
      </c>
      <c r="D270" t="s">
        <v>274</v>
      </c>
      <c r="E270" t="s">
        <v>1846</v>
      </c>
      <c r="F270" t="s">
        <v>1851</v>
      </c>
      <c r="I270">
        <v>6874</v>
      </c>
      <c r="J270" t="s">
        <v>37</v>
      </c>
      <c r="K270" s="1">
        <v>45845</v>
      </c>
      <c r="L270" s="1"/>
      <c r="M270" s="1">
        <v>44830</v>
      </c>
      <c r="N270" s="1">
        <v>44861</v>
      </c>
      <c r="O270" s="1" t="s">
        <v>1049</v>
      </c>
      <c r="P270" t="s">
        <v>116</v>
      </c>
      <c r="Q270" t="s">
        <v>116</v>
      </c>
      <c r="R270" t="s">
        <v>40</v>
      </c>
      <c r="S270" t="s">
        <v>45</v>
      </c>
      <c r="U270" t="s">
        <v>38</v>
      </c>
      <c r="V270" s="1">
        <v>45845</v>
      </c>
      <c r="W270" s="1" t="s">
        <v>53</v>
      </c>
      <c r="X270" t="s">
        <v>32</v>
      </c>
      <c r="Y270" s="1">
        <v>45845</v>
      </c>
      <c r="Z270" s="1" t="s">
        <v>1570</v>
      </c>
      <c r="AA270" t="s">
        <v>328</v>
      </c>
      <c r="AB270" t="s">
        <v>1520</v>
      </c>
      <c r="AC270" t="str">
        <f>INDEX('DB Description'!$A$1:$B$23,MATCH(Tabela2[[#This Row],[Filial DB code]],'DB Description'!A:A,),2)</f>
        <v>Bauko</v>
      </c>
      <c r="AD270" s="9">
        <f>Tabela2[[#This Row],[Issue2]]-Tabela2[[#This Row],[Failure2]]</f>
        <v>0</v>
      </c>
      <c r="AE270" t="str">
        <f t="shared" ref="AE270:AE272" si="45">"FY"&amp;IF(MONTH(Y270)&gt;=4,YEAR(Y270),YEAR(Y270)-1)</f>
        <v>FY2025</v>
      </c>
      <c r="AF270">
        <f>YEAR(Tabela2[[#This Row],[Issue2]])</f>
        <v>2025</v>
      </c>
    </row>
    <row r="271" spans="1:32" x14ac:dyDescent="0.35">
      <c r="A271" t="s">
        <v>1571</v>
      </c>
      <c r="B271" t="s">
        <v>1572</v>
      </c>
      <c r="C271" t="s">
        <v>1135</v>
      </c>
      <c r="D271" t="s">
        <v>497</v>
      </c>
      <c r="E271" t="s">
        <v>1866</v>
      </c>
      <c r="F271" t="s">
        <v>1865</v>
      </c>
      <c r="I271">
        <v>640</v>
      </c>
      <c r="J271" t="s">
        <v>47</v>
      </c>
      <c r="K271" s="1">
        <v>45833</v>
      </c>
      <c r="L271" s="1"/>
      <c r="M271" s="1">
        <v>45656</v>
      </c>
      <c r="O271" s="1" t="s">
        <v>1573</v>
      </c>
      <c r="P271" t="s">
        <v>1574</v>
      </c>
      <c r="Q271" t="s">
        <v>176</v>
      </c>
      <c r="R271" t="s">
        <v>193</v>
      </c>
      <c r="S271" t="s">
        <v>45</v>
      </c>
      <c r="T271" t="s">
        <v>329</v>
      </c>
      <c r="U271" t="s">
        <v>30</v>
      </c>
      <c r="V271" s="1">
        <v>45841</v>
      </c>
      <c r="W271" s="1" t="s">
        <v>53</v>
      </c>
      <c r="X271" t="s">
        <v>32</v>
      </c>
      <c r="Y271" s="1">
        <v>45841</v>
      </c>
      <c r="AA271" t="s">
        <v>1339</v>
      </c>
      <c r="AB271" t="s">
        <v>243</v>
      </c>
      <c r="AC271" t="str">
        <f>INDEX('DB Description'!$A$1:$B$23,MATCH(Tabela2[[#This Row],[Filial DB code]],'DB Description'!A:A,),2)</f>
        <v>Bauko</v>
      </c>
      <c r="AD271" s="9">
        <f>Tabela2[[#This Row],[Issue2]]-Tabela2[[#This Row],[Failure2]]</f>
        <v>8</v>
      </c>
      <c r="AE271" t="str">
        <f t="shared" si="45"/>
        <v>FY2025</v>
      </c>
      <c r="AF271">
        <f>YEAR(Tabela2[[#This Row],[Issue2]])</f>
        <v>2025</v>
      </c>
    </row>
    <row r="272" spans="1:32" x14ac:dyDescent="0.35">
      <c r="A272" t="s">
        <v>1576</v>
      </c>
      <c r="B272" t="s">
        <v>1577</v>
      </c>
      <c r="C272" t="s">
        <v>348</v>
      </c>
      <c r="D272" t="s">
        <v>753</v>
      </c>
      <c r="E272" t="s">
        <v>1858</v>
      </c>
      <c r="F272" t="s">
        <v>1904</v>
      </c>
      <c r="G272" t="s">
        <v>1578</v>
      </c>
      <c r="I272">
        <v>3901</v>
      </c>
      <c r="J272" t="s">
        <v>154</v>
      </c>
      <c r="K272" s="1">
        <v>45812</v>
      </c>
      <c r="L272" s="1">
        <v>45826</v>
      </c>
      <c r="M272" s="1">
        <v>44848</v>
      </c>
      <c r="N272" s="1">
        <v>45078</v>
      </c>
      <c r="O272" s="1" t="s">
        <v>1374</v>
      </c>
      <c r="P272" t="s">
        <v>1373</v>
      </c>
      <c r="Q272" t="s">
        <v>78</v>
      </c>
      <c r="R272" t="s">
        <v>304</v>
      </c>
      <c r="S272" t="s">
        <v>45</v>
      </c>
      <c r="T272" t="s">
        <v>415</v>
      </c>
      <c r="U272" t="s">
        <v>409</v>
      </c>
      <c r="V272" s="1">
        <v>45840</v>
      </c>
      <c r="W272" s="1" t="s">
        <v>53</v>
      </c>
      <c r="X272" t="s">
        <v>32</v>
      </c>
      <c r="Y272" s="1">
        <v>45840</v>
      </c>
      <c r="AA272" t="s">
        <v>749</v>
      </c>
      <c r="AB272" t="s">
        <v>1512</v>
      </c>
      <c r="AC272" t="str">
        <f>INDEX('DB Description'!$A$1:$B$23,MATCH(Tabela2[[#This Row],[Filial DB code]],'DB Description'!A:A,),2)</f>
        <v>Bauko</v>
      </c>
      <c r="AD272" s="9">
        <f>Tabela2[[#This Row],[Issue2]]-Tabela2[[#This Row],[Failure2]]</f>
        <v>28</v>
      </c>
      <c r="AE272" t="str">
        <f t="shared" si="45"/>
        <v>FY2025</v>
      </c>
      <c r="AF272">
        <f>YEAR(Tabela2[[#This Row],[Issue2]])</f>
        <v>2025</v>
      </c>
    </row>
    <row r="273" spans="1:32" x14ac:dyDescent="0.35">
      <c r="A273" t="s">
        <v>1600</v>
      </c>
      <c r="B273" t="s">
        <v>1601</v>
      </c>
      <c r="C273" t="s">
        <v>348</v>
      </c>
      <c r="D273" t="s">
        <v>892</v>
      </c>
      <c r="E273" t="s">
        <v>1846</v>
      </c>
      <c r="F273" t="s">
        <v>1854</v>
      </c>
      <c r="I273">
        <v>2351</v>
      </c>
      <c r="J273" t="s">
        <v>37</v>
      </c>
      <c r="K273" s="1">
        <v>45810</v>
      </c>
      <c r="L273" s="1"/>
      <c r="M273" s="1">
        <v>45217</v>
      </c>
      <c r="N273" s="1">
        <v>45288</v>
      </c>
      <c r="O273" s="1" t="s">
        <v>1049</v>
      </c>
      <c r="P273" t="s">
        <v>1418</v>
      </c>
      <c r="Q273" t="s">
        <v>116</v>
      </c>
      <c r="R273" t="s">
        <v>35</v>
      </c>
      <c r="S273" t="s">
        <v>45</v>
      </c>
      <c r="U273" t="s">
        <v>38</v>
      </c>
      <c r="V273" s="1">
        <v>45828</v>
      </c>
      <c r="W273" s="1" t="s">
        <v>53</v>
      </c>
      <c r="X273" t="s">
        <v>32</v>
      </c>
      <c r="Y273" s="1">
        <v>45857</v>
      </c>
      <c r="Z273" s="1" t="s">
        <v>1602</v>
      </c>
      <c r="AA273" t="s">
        <v>328</v>
      </c>
      <c r="AB273" t="s">
        <v>1520</v>
      </c>
      <c r="AC273" t="str">
        <f>INDEX('DB Description'!$A$1:$B$23,MATCH(Tabela2[[#This Row],[Filial DB code]],'DB Description'!A:A,),2)</f>
        <v>Bauko</v>
      </c>
      <c r="AD273" s="9">
        <f>Tabela2[[#This Row],[Issue2]]-Tabela2[[#This Row],[Failure2]]</f>
        <v>47</v>
      </c>
      <c r="AE273" t="str">
        <f t="shared" ref="AE273:AE277" si="46">"FY"&amp;IF(MONTH(Y273)&gt;=4,YEAR(Y273),YEAR(Y273)-1)</f>
        <v>FY2025</v>
      </c>
      <c r="AF273">
        <f>YEAR(Tabela2[[#This Row],[Issue2]])</f>
        <v>2025</v>
      </c>
    </row>
    <row r="274" spans="1:32" x14ac:dyDescent="0.35">
      <c r="A274" t="s">
        <v>1556</v>
      </c>
      <c r="B274" t="s">
        <v>1557</v>
      </c>
      <c r="C274" t="s">
        <v>348</v>
      </c>
      <c r="D274" t="s">
        <v>177</v>
      </c>
      <c r="E274" t="s">
        <v>1877</v>
      </c>
      <c r="F274" t="s">
        <v>1876</v>
      </c>
      <c r="G274" t="s">
        <v>1558</v>
      </c>
      <c r="I274">
        <v>1459</v>
      </c>
      <c r="J274" t="s">
        <v>28</v>
      </c>
      <c r="K274" s="1">
        <v>45139</v>
      </c>
      <c r="L274" s="1"/>
      <c r="M274" s="1">
        <v>44762</v>
      </c>
      <c r="N274" s="1">
        <v>44797</v>
      </c>
      <c r="O274" s="1" t="s">
        <v>1296</v>
      </c>
      <c r="P274" t="s">
        <v>1297</v>
      </c>
      <c r="Q274" t="s">
        <v>60</v>
      </c>
      <c r="R274" t="s">
        <v>193</v>
      </c>
      <c r="S274" t="s">
        <v>45</v>
      </c>
      <c r="T274" t="s">
        <v>334</v>
      </c>
      <c r="U274" t="s">
        <v>384</v>
      </c>
      <c r="V274" s="1">
        <v>45826</v>
      </c>
      <c r="W274" s="1" t="s">
        <v>53</v>
      </c>
      <c r="X274" t="s">
        <v>32</v>
      </c>
      <c r="Y274" s="1">
        <v>45826</v>
      </c>
      <c r="Z274" s="1" t="s">
        <v>1559</v>
      </c>
      <c r="AA274" t="s">
        <v>749</v>
      </c>
      <c r="AB274" t="s">
        <v>1512</v>
      </c>
      <c r="AC274" t="str">
        <f>INDEX('DB Description'!$A$1:$B$23,MATCH(Tabela2[[#This Row],[Filial DB code]],'DB Description'!A:A,),2)</f>
        <v>Bauko</v>
      </c>
      <c r="AD274" s="9">
        <f>Tabela2[[#This Row],[Issue2]]-Tabela2[[#This Row],[Failure2]]</f>
        <v>687</v>
      </c>
      <c r="AE274" t="str">
        <f t="shared" si="46"/>
        <v>FY2025</v>
      </c>
      <c r="AF274">
        <f>YEAR(Tabela2[[#This Row],[Issue2]])</f>
        <v>2025</v>
      </c>
    </row>
    <row r="275" spans="1:32" x14ac:dyDescent="0.35">
      <c r="A275" t="s">
        <v>1560</v>
      </c>
      <c r="B275" t="s">
        <v>1561</v>
      </c>
      <c r="C275" t="s">
        <v>348</v>
      </c>
      <c r="D275" t="s">
        <v>127</v>
      </c>
      <c r="E275" t="s">
        <v>1846</v>
      </c>
      <c r="F275" t="s">
        <v>1851</v>
      </c>
      <c r="I275">
        <v>3008</v>
      </c>
      <c r="J275" t="s">
        <v>47</v>
      </c>
      <c r="K275" s="1">
        <v>45814</v>
      </c>
      <c r="L275" s="1"/>
      <c r="M275" s="1">
        <v>44662</v>
      </c>
      <c r="N275" s="1">
        <v>44721</v>
      </c>
      <c r="O275" s="1" t="s">
        <v>1049</v>
      </c>
      <c r="P275" t="s">
        <v>1410</v>
      </c>
      <c r="Q275" t="s">
        <v>116</v>
      </c>
      <c r="R275" t="s">
        <v>34</v>
      </c>
      <c r="S275" t="s">
        <v>45</v>
      </c>
      <c r="T275" t="s">
        <v>329</v>
      </c>
      <c r="U275" t="s">
        <v>30</v>
      </c>
      <c r="V275" s="1">
        <v>45825</v>
      </c>
      <c r="W275" s="1" t="s">
        <v>64</v>
      </c>
      <c r="X275" t="s">
        <v>32</v>
      </c>
      <c r="Y275" s="1">
        <v>45825</v>
      </c>
      <c r="Z275" s="1" t="s">
        <v>1562</v>
      </c>
      <c r="AA275" t="s">
        <v>807</v>
      </c>
      <c r="AB275" t="s">
        <v>1514</v>
      </c>
      <c r="AC275" t="str">
        <f>INDEX('DB Description'!$A$1:$B$23,MATCH(Tabela2[[#This Row],[Filial DB code]],'DB Description'!A:A,),2)</f>
        <v>Mason</v>
      </c>
      <c r="AD275" s="9">
        <f>Tabela2[[#This Row],[Issue2]]-Tabela2[[#This Row],[Failure2]]</f>
        <v>11</v>
      </c>
      <c r="AE275" t="str">
        <f t="shared" si="46"/>
        <v>FY2025</v>
      </c>
      <c r="AF275">
        <f>YEAR(Tabela2[[#This Row],[Issue2]])</f>
        <v>2025</v>
      </c>
    </row>
    <row r="276" spans="1:32" x14ac:dyDescent="0.35">
      <c r="A276" t="s">
        <v>1549</v>
      </c>
      <c r="B276" t="s">
        <v>1550</v>
      </c>
      <c r="C276" t="s">
        <v>348</v>
      </c>
      <c r="D276" t="s">
        <v>59</v>
      </c>
      <c r="E276" t="s">
        <v>1907</v>
      </c>
      <c r="F276" t="s">
        <v>1906</v>
      </c>
      <c r="I276">
        <v>2284</v>
      </c>
      <c r="J276" t="s">
        <v>28</v>
      </c>
      <c r="K276" s="1">
        <v>45810</v>
      </c>
      <c r="L276" s="1"/>
      <c r="M276" s="1">
        <v>45253</v>
      </c>
      <c r="N276" s="1">
        <v>45328</v>
      </c>
      <c r="O276" s="1" t="s">
        <v>1551</v>
      </c>
      <c r="P276" t="s">
        <v>201</v>
      </c>
      <c r="Q276" t="s">
        <v>73</v>
      </c>
      <c r="R276" t="s">
        <v>50</v>
      </c>
      <c r="S276" t="s">
        <v>45</v>
      </c>
      <c r="T276" t="s">
        <v>334</v>
      </c>
      <c r="U276" t="s">
        <v>30</v>
      </c>
      <c r="V276" s="1">
        <v>45821</v>
      </c>
      <c r="W276" s="1" t="s">
        <v>64</v>
      </c>
      <c r="X276" t="s">
        <v>32</v>
      </c>
      <c r="Y276" s="1">
        <v>45821</v>
      </c>
      <c r="AA276" t="s">
        <v>807</v>
      </c>
      <c r="AB276" t="s">
        <v>1514</v>
      </c>
      <c r="AC276" t="str">
        <f>INDEX('DB Description'!$A$1:$B$23,MATCH(Tabela2[[#This Row],[Filial DB code]],'DB Description'!A:A,),2)</f>
        <v>Mason</v>
      </c>
      <c r="AD276" s="9">
        <f>Tabela2[[#This Row],[Issue2]]-Tabela2[[#This Row],[Failure2]]</f>
        <v>11</v>
      </c>
      <c r="AE276" t="str">
        <f t="shared" si="46"/>
        <v>FY2025</v>
      </c>
      <c r="AF276">
        <f>YEAR(Tabela2[[#This Row],[Issue2]])</f>
        <v>2025</v>
      </c>
    </row>
    <row r="277" spans="1:32" x14ac:dyDescent="0.35">
      <c r="A277" t="s">
        <v>1552</v>
      </c>
      <c r="B277" t="s">
        <v>1553</v>
      </c>
      <c r="C277" t="s">
        <v>348</v>
      </c>
      <c r="D277" t="s">
        <v>1554</v>
      </c>
      <c r="E277" t="s">
        <v>1894</v>
      </c>
      <c r="F277" t="s">
        <v>1563</v>
      </c>
      <c r="I277">
        <v>807</v>
      </c>
      <c r="J277" t="s">
        <v>47</v>
      </c>
      <c r="K277" s="1">
        <v>45821</v>
      </c>
      <c r="L277" s="1"/>
      <c r="M277" s="1">
        <v>45548</v>
      </c>
      <c r="N277" s="1">
        <v>45573</v>
      </c>
      <c r="O277" s="1" t="s">
        <v>1485</v>
      </c>
      <c r="P277" t="s">
        <v>335</v>
      </c>
      <c r="Q277" t="s">
        <v>65</v>
      </c>
      <c r="R277" t="s">
        <v>124</v>
      </c>
      <c r="S277" t="s">
        <v>45</v>
      </c>
      <c r="T277" t="s">
        <v>329</v>
      </c>
      <c r="U277" t="s">
        <v>30</v>
      </c>
      <c r="V277" s="1">
        <v>45821</v>
      </c>
      <c r="W277" s="1" t="s">
        <v>53</v>
      </c>
      <c r="X277" t="s">
        <v>32</v>
      </c>
      <c r="Y277" s="1">
        <v>45821</v>
      </c>
      <c r="Z277" s="1" t="s">
        <v>1555</v>
      </c>
      <c r="AA277" t="s">
        <v>328</v>
      </c>
      <c r="AB277" t="s">
        <v>1520</v>
      </c>
      <c r="AC277" t="str">
        <f>INDEX('DB Description'!$A$1:$B$23,MATCH(Tabela2[[#This Row],[Filial DB code]],'DB Description'!A:A,),2)</f>
        <v>Bauko</v>
      </c>
      <c r="AD277" s="9">
        <f>Tabela2[[#This Row],[Issue2]]-Tabela2[[#This Row],[Failure2]]</f>
        <v>0</v>
      </c>
      <c r="AE277" t="str">
        <f t="shared" si="46"/>
        <v>FY2025</v>
      </c>
      <c r="AF277">
        <f>YEAR(Tabela2[[#This Row],[Issue2]])</f>
        <v>2025</v>
      </c>
    </row>
    <row r="278" spans="1:32" x14ac:dyDescent="0.35">
      <c r="A278" t="s">
        <v>1545</v>
      </c>
      <c r="B278" t="s">
        <v>1546</v>
      </c>
      <c r="C278" t="s">
        <v>348</v>
      </c>
      <c r="D278" t="s">
        <v>1383</v>
      </c>
      <c r="E278" t="s">
        <v>1866</v>
      </c>
      <c r="F278" t="s">
        <v>1908</v>
      </c>
      <c r="G278" t="s">
        <v>1547</v>
      </c>
      <c r="I278">
        <v>574</v>
      </c>
      <c r="J278" t="s">
        <v>37</v>
      </c>
      <c r="K278" s="1">
        <v>45803</v>
      </c>
      <c r="L278" s="1">
        <v>45804</v>
      </c>
      <c r="M278" s="1">
        <v>45646</v>
      </c>
      <c r="N278" s="1">
        <v>45663</v>
      </c>
      <c r="O278" s="1" t="s">
        <v>111</v>
      </c>
      <c r="P278" t="s">
        <v>1548</v>
      </c>
      <c r="Q278" t="s">
        <v>204</v>
      </c>
      <c r="R278" t="s">
        <v>1366</v>
      </c>
      <c r="S278" t="s">
        <v>45</v>
      </c>
      <c r="U278" t="s">
        <v>38</v>
      </c>
      <c r="V278" s="1">
        <v>45811</v>
      </c>
      <c r="W278" s="1" t="s">
        <v>46</v>
      </c>
      <c r="X278" t="s">
        <v>32</v>
      </c>
      <c r="Y278" s="1">
        <v>45811</v>
      </c>
      <c r="AA278" t="s">
        <v>543</v>
      </c>
      <c r="AB278" t="s">
        <v>1518</v>
      </c>
      <c r="AC278" t="str">
        <f>INDEX('DB Description'!$A$1:$B$23,MATCH(Tabela2[[#This Row],[Filial DB code]],'DB Description'!A:A,),2)</f>
        <v xml:space="preserve">Vianmaq </v>
      </c>
      <c r="AD278" s="9">
        <f>Tabela2[[#This Row],[Issue2]]-Tabela2[[#This Row],[Failure2]]</f>
        <v>8</v>
      </c>
      <c r="AE278" t="str">
        <f t="shared" ref="AE278:AE282" si="47">"FY"&amp;IF(MONTH(Y278)&gt;=4,YEAR(Y278),YEAR(Y278)-1)</f>
        <v>FY2025</v>
      </c>
      <c r="AF278">
        <f>YEAR(Tabela2[[#This Row],[Issue2]])</f>
        <v>2025</v>
      </c>
    </row>
    <row r="279" spans="1:32" x14ac:dyDescent="0.35">
      <c r="A279" t="s">
        <v>1491</v>
      </c>
      <c r="B279" t="s">
        <v>1492</v>
      </c>
      <c r="C279" t="s">
        <v>1135</v>
      </c>
      <c r="D279" t="s">
        <v>1493</v>
      </c>
      <c r="E279" t="s">
        <v>1860</v>
      </c>
      <c r="F279" t="s">
        <v>1859</v>
      </c>
      <c r="G279" t="s">
        <v>1494</v>
      </c>
      <c r="I279">
        <v>1360.8</v>
      </c>
      <c r="J279" t="s">
        <v>28</v>
      </c>
      <c r="K279" s="1">
        <v>45763</v>
      </c>
      <c r="L279" s="1"/>
      <c r="M279" s="1">
        <v>45504</v>
      </c>
      <c r="N279" s="1">
        <v>45586</v>
      </c>
      <c r="O279" s="1" t="s">
        <v>1495</v>
      </c>
      <c r="P279" t="s">
        <v>1496</v>
      </c>
      <c r="Q279" t="s">
        <v>132</v>
      </c>
      <c r="R279" t="s">
        <v>1398</v>
      </c>
      <c r="S279" t="s">
        <v>45</v>
      </c>
      <c r="T279" t="s">
        <v>334</v>
      </c>
      <c r="U279" t="s">
        <v>30</v>
      </c>
      <c r="V279" s="1">
        <v>45807</v>
      </c>
      <c r="W279" s="1" t="s">
        <v>481</v>
      </c>
      <c r="X279" t="s">
        <v>32</v>
      </c>
      <c r="Y279" s="1">
        <v>45807</v>
      </c>
      <c r="AA279" t="s">
        <v>1110</v>
      </c>
      <c r="AB279" t="s">
        <v>1517</v>
      </c>
      <c r="AC279" t="str">
        <f>INDEX('DB Description'!$A$1:$B$23,MATCH(Tabela2[[#This Row],[Filial DB code]],'DB Description'!A:A,),2)</f>
        <v>Mason</v>
      </c>
      <c r="AD279" s="9">
        <f>Tabela2[[#This Row],[Issue2]]-Tabela2[[#This Row],[Failure2]]</f>
        <v>44</v>
      </c>
      <c r="AE279" t="str">
        <f t="shared" si="47"/>
        <v>FY2025</v>
      </c>
      <c r="AF279">
        <f>YEAR(Tabela2[[#This Row],[Issue2]])</f>
        <v>2025</v>
      </c>
    </row>
    <row r="280" spans="1:32" x14ac:dyDescent="0.35">
      <c r="A280" t="s">
        <v>1497</v>
      </c>
      <c r="B280" t="s">
        <v>1498</v>
      </c>
      <c r="C280" t="s">
        <v>348</v>
      </c>
      <c r="D280" t="s">
        <v>1499</v>
      </c>
      <c r="E280" t="s">
        <v>1872</v>
      </c>
      <c r="F280" t="s">
        <v>1871</v>
      </c>
      <c r="I280">
        <v>1977</v>
      </c>
      <c r="J280" t="s">
        <v>28</v>
      </c>
      <c r="K280" s="1">
        <v>45777</v>
      </c>
      <c r="L280" s="1"/>
      <c r="M280" s="1">
        <v>45404.875</v>
      </c>
      <c r="N280" s="1">
        <v>45477.875</v>
      </c>
      <c r="O280" s="1" t="s">
        <v>1082</v>
      </c>
      <c r="P280" t="s">
        <v>1500</v>
      </c>
      <c r="Q280" t="s">
        <v>175</v>
      </c>
      <c r="R280" t="s">
        <v>1398</v>
      </c>
      <c r="S280" t="s">
        <v>45</v>
      </c>
      <c r="T280" t="s">
        <v>334</v>
      </c>
      <c r="U280" t="s">
        <v>30</v>
      </c>
      <c r="V280" s="1">
        <v>45807</v>
      </c>
      <c r="W280" s="1" t="s">
        <v>64</v>
      </c>
      <c r="X280" t="s">
        <v>32</v>
      </c>
      <c r="Y280" s="1">
        <v>45806</v>
      </c>
      <c r="AA280" t="s">
        <v>971</v>
      </c>
      <c r="AB280" t="s">
        <v>1514</v>
      </c>
      <c r="AC280" t="str">
        <f>INDEX('DB Description'!$A$1:$B$23,MATCH(Tabela2[[#This Row],[Filial DB code]],'DB Description'!A:A,),2)</f>
        <v>Mason</v>
      </c>
      <c r="AD280" s="9">
        <f>Tabela2[[#This Row],[Issue2]]-Tabela2[[#This Row],[Failure2]]</f>
        <v>29</v>
      </c>
      <c r="AE280" t="str">
        <f t="shared" si="47"/>
        <v>FY2025</v>
      </c>
      <c r="AF280">
        <f>YEAR(Tabela2[[#This Row],[Issue2]])</f>
        <v>2025</v>
      </c>
    </row>
    <row r="281" spans="1:32" x14ac:dyDescent="0.35">
      <c r="A281" t="s">
        <v>1501</v>
      </c>
      <c r="B281" t="s">
        <v>1502</v>
      </c>
      <c r="C281" t="s">
        <v>348</v>
      </c>
      <c r="D281" t="s">
        <v>190</v>
      </c>
      <c r="E281" t="s">
        <v>1884</v>
      </c>
      <c r="F281" t="s">
        <v>1909</v>
      </c>
      <c r="G281" t="s">
        <v>1503</v>
      </c>
      <c r="I281">
        <v>7</v>
      </c>
      <c r="J281" t="s">
        <v>37</v>
      </c>
      <c r="K281" s="1">
        <v>45789</v>
      </c>
      <c r="L281" s="1"/>
      <c r="M281" s="1">
        <v>45576</v>
      </c>
      <c r="O281" s="1" t="s">
        <v>480</v>
      </c>
      <c r="P281" t="s">
        <v>480</v>
      </c>
      <c r="Q281" t="s">
        <v>42</v>
      </c>
      <c r="R281" t="s">
        <v>229</v>
      </c>
      <c r="S281" t="s">
        <v>45</v>
      </c>
      <c r="U281" t="s">
        <v>38</v>
      </c>
      <c r="V281" s="1">
        <v>45806</v>
      </c>
      <c r="W281" s="1" t="s">
        <v>61</v>
      </c>
      <c r="X281" t="s">
        <v>32</v>
      </c>
      <c r="Y281" s="1">
        <v>45806</v>
      </c>
      <c r="AA281" t="s">
        <v>1095</v>
      </c>
      <c r="AB281" t="s">
        <v>1631</v>
      </c>
      <c r="AC281" t="str">
        <f>INDEX('DB Description'!$A$1:$B$23,MATCH(Tabela2[[#This Row],[Filial DB code]],'DB Description'!A:A,),2)</f>
        <v>VAMOS (2131F)</v>
      </c>
      <c r="AD281" s="9">
        <f>Tabela2[[#This Row],[Issue2]]-Tabela2[[#This Row],[Failure2]]</f>
        <v>17</v>
      </c>
      <c r="AE281" t="str">
        <f t="shared" si="47"/>
        <v>FY2025</v>
      </c>
      <c r="AF281">
        <f>YEAR(Tabela2[[#This Row],[Issue2]])</f>
        <v>2025</v>
      </c>
    </row>
    <row r="282" spans="1:32" x14ac:dyDescent="0.35">
      <c r="A282" t="s">
        <v>1504</v>
      </c>
      <c r="B282" t="s">
        <v>1505</v>
      </c>
      <c r="C282" t="s">
        <v>348</v>
      </c>
      <c r="D282" t="s">
        <v>1151</v>
      </c>
      <c r="E282" t="s">
        <v>1866</v>
      </c>
      <c r="F282" t="s">
        <v>266</v>
      </c>
      <c r="G282" t="s">
        <v>1506</v>
      </c>
      <c r="I282">
        <v>607</v>
      </c>
      <c r="J282" t="s">
        <v>37</v>
      </c>
      <c r="K282" s="1">
        <v>45784</v>
      </c>
      <c r="L282" s="1"/>
      <c r="M282" s="1">
        <v>45343</v>
      </c>
      <c r="N282" s="1">
        <v>45441</v>
      </c>
      <c r="O282" s="1" t="s">
        <v>1364</v>
      </c>
      <c r="P282" t="s">
        <v>48</v>
      </c>
      <c r="Q282" t="s">
        <v>78</v>
      </c>
      <c r="R282" t="s">
        <v>70</v>
      </c>
      <c r="S282" t="s">
        <v>45</v>
      </c>
      <c r="U282" t="s">
        <v>38</v>
      </c>
      <c r="V282" s="1">
        <v>45805</v>
      </c>
      <c r="W282" s="1" t="s">
        <v>61</v>
      </c>
      <c r="X282" t="s">
        <v>32</v>
      </c>
      <c r="Y282" s="1">
        <v>45805</v>
      </c>
      <c r="AA282" t="s">
        <v>1095</v>
      </c>
      <c r="AB282" t="s">
        <v>1631</v>
      </c>
      <c r="AC282" t="str">
        <f>INDEX('DB Description'!$A$1:$B$23,MATCH(Tabela2[[#This Row],[Filial DB code]],'DB Description'!A:A,),2)</f>
        <v>VAMOS (2131F)</v>
      </c>
      <c r="AD282" s="9">
        <f>Tabela2[[#This Row],[Issue2]]-Tabela2[[#This Row],[Failure2]]</f>
        <v>21</v>
      </c>
      <c r="AE282" t="str">
        <f t="shared" si="47"/>
        <v>FY2025</v>
      </c>
      <c r="AF282">
        <f>YEAR(Tabela2[[#This Row],[Issue2]])</f>
        <v>2025</v>
      </c>
    </row>
    <row r="283" spans="1:32" x14ac:dyDescent="0.35">
      <c r="A283" t="s">
        <v>1507</v>
      </c>
      <c r="B283" t="s">
        <v>1508</v>
      </c>
      <c r="C283" t="s">
        <v>348</v>
      </c>
      <c r="D283" t="s">
        <v>208</v>
      </c>
      <c r="E283" t="s">
        <v>1847</v>
      </c>
      <c r="F283" t="s">
        <v>1883</v>
      </c>
      <c r="G283" t="s">
        <v>1509</v>
      </c>
      <c r="I283">
        <v>3848</v>
      </c>
      <c r="J283" t="s">
        <v>37</v>
      </c>
      <c r="K283" s="1">
        <v>45793</v>
      </c>
      <c r="L283" s="1"/>
      <c r="M283" s="1">
        <v>44762</v>
      </c>
      <c r="N283" s="1">
        <v>44784</v>
      </c>
      <c r="O283" s="1" t="s">
        <v>244</v>
      </c>
      <c r="P283" t="s">
        <v>169</v>
      </c>
      <c r="Q283" t="s">
        <v>204</v>
      </c>
      <c r="R283" t="s">
        <v>50</v>
      </c>
      <c r="S283" t="s">
        <v>45</v>
      </c>
      <c r="U283" t="s">
        <v>38</v>
      </c>
      <c r="V283" s="1">
        <v>45797</v>
      </c>
      <c r="W283" s="1" t="s">
        <v>46</v>
      </c>
      <c r="X283" t="s">
        <v>32</v>
      </c>
      <c r="Y283" s="1">
        <v>45797</v>
      </c>
      <c r="AA283" t="s">
        <v>543</v>
      </c>
      <c r="AB283" t="s">
        <v>1518</v>
      </c>
      <c r="AC283" t="str">
        <f>INDEX('DB Description'!$A$1:$B$23,MATCH(Tabela2[[#This Row],[Filial DB code]],'DB Description'!A:A,),2)</f>
        <v xml:space="preserve">Vianmaq </v>
      </c>
      <c r="AD283" s="9">
        <f>Tabela2[[#This Row],[Issue2]]-Tabela2[[#This Row],[Failure2]]</f>
        <v>4</v>
      </c>
      <c r="AE283" t="str">
        <f t="shared" ref="AE283:AE286" si="48">"FY"&amp;IF(MONTH(Y283)&gt;=4,YEAR(Y283),YEAR(Y283)-1)</f>
        <v>FY2025</v>
      </c>
      <c r="AF283">
        <f>YEAR(Tabela2[[#This Row],[Issue2]])</f>
        <v>2025</v>
      </c>
    </row>
    <row r="284" spans="1:32" x14ac:dyDescent="0.35">
      <c r="A284" t="s">
        <v>1476</v>
      </c>
      <c r="B284" t="s">
        <v>1477</v>
      </c>
      <c r="C284" t="s">
        <v>348</v>
      </c>
      <c r="D284" t="s">
        <v>1130</v>
      </c>
      <c r="E284" s="4" t="s">
        <v>1862</v>
      </c>
      <c r="F284" t="s">
        <v>1893</v>
      </c>
      <c r="G284" t="s">
        <v>1478</v>
      </c>
      <c r="I284">
        <v>1254</v>
      </c>
      <c r="J284" t="s">
        <v>37</v>
      </c>
      <c r="K284" s="1">
        <v>45785</v>
      </c>
      <c r="L284" s="1"/>
      <c r="M284" s="1">
        <v>44959</v>
      </c>
      <c r="N284" s="1">
        <v>45198</v>
      </c>
      <c r="O284" s="1" t="s">
        <v>1479</v>
      </c>
      <c r="P284" t="s">
        <v>273</v>
      </c>
      <c r="Q284" t="s">
        <v>204</v>
      </c>
      <c r="R284" t="s">
        <v>193</v>
      </c>
      <c r="S284" t="s">
        <v>45</v>
      </c>
      <c r="U284" t="s">
        <v>38</v>
      </c>
      <c r="V284" s="1">
        <v>45792</v>
      </c>
      <c r="W284" s="1" t="s">
        <v>46</v>
      </c>
      <c r="X284" t="s">
        <v>32</v>
      </c>
      <c r="Y284" s="1">
        <v>45793</v>
      </c>
      <c r="Z284" s="1" t="s">
        <v>1480</v>
      </c>
      <c r="AA284" t="s">
        <v>543</v>
      </c>
      <c r="AB284" t="s">
        <v>1518</v>
      </c>
      <c r="AC284" t="str">
        <f>INDEX('DB Description'!$A$1:$B$23,MATCH(Tabela2[[#This Row],[Filial DB code]],'DB Description'!A:A,),2)</f>
        <v xml:space="preserve">Vianmaq </v>
      </c>
      <c r="AD284" s="9">
        <f>Tabela2[[#This Row],[Issue2]]-Tabela2[[#This Row],[Failure2]]</f>
        <v>8</v>
      </c>
      <c r="AE284" t="str">
        <f t="shared" si="48"/>
        <v>FY2025</v>
      </c>
      <c r="AF284">
        <f>YEAR(Tabela2[[#This Row],[Issue2]])</f>
        <v>2025</v>
      </c>
    </row>
    <row r="285" spans="1:32" x14ac:dyDescent="0.35">
      <c r="A285" t="s">
        <v>1481</v>
      </c>
      <c r="B285" t="s">
        <v>1482</v>
      </c>
      <c r="C285" t="s">
        <v>348</v>
      </c>
      <c r="D285" t="s">
        <v>324</v>
      </c>
      <c r="E285" t="s">
        <v>1846</v>
      </c>
      <c r="F285" t="s">
        <v>1851</v>
      </c>
      <c r="I285">
        <v>4706</v>
      </c>
      <c r="J285" t="s">
        <v>37</v>
      </c>
      <c r="K285" s="1">
        <v>45791</v>
      </c>
      <c r="L285" s="1"/>
      <c r="M285" s="1">
        <v>44979</v>
      </c>
      <c r="N285" s="1">
        <v>45063</v>
      </c>
      <c r="O285" s="1" t="s">
        <v>1470</v>
      </c>
      <c r="P285" t="s">
        <v>1418</v>
      </c>
      <c r="Q285" t="s">
        <v>116</v>
      </c>
      <c r="R285" t="s">
        <v>40</v>
      </c>
      <c r="S285" t="s">
        <v>45</v>
      </c>
      <c r="U285" t="s">
        <v>38</v>
      </c>
      <c r="V285" s="1">
        <v>45791</v>
      </c>
      <c r="W285" s="1" t="s">
        <v>53</v>
      </c>
      <c r="X285" t="s">
        <v>32</v>
      </c>
      <c r="Y285" s="1">
        <v>45791</v>
      </c>
      <c r="AA285" t="s">
        <v>1339</v>
      </c>
      <c r="AB285" t="s">
        <v>243</v>
      </c>
      <c r="AC285" t="str">
        <f>INDEX('DB Description'!$A$1:$B$23,MATCH(Tabela2[[#This Row],[Filial DB code]],'DB Description'!A:A,),2)</f>
        <v>Bauko</v>
      </c>
      <c r="AD285" s="9">
        <f>Tabela2[[#This Row],[Issue2]]-Tabela2[[#This Row],[Failure2]]</f>
        <v>0</v>
      </c>
      <c r="AE285" t="str">
        <f t="shared" si="48"/>
        <v>FY2025</v>
      </c>
      <c r="AF285">
        <f>YEAR(Tabela2[[#This Row],[Issue2]])</f>
        <v>2025</v>
      </c>
    </row>
    <row r="286" spans="1:32" x14ac:dyDescent="0.35">
      <c r="A286" t="s">
        <v>1483</v>
      </c>
      <c r="B286" t="s">
        <v>1484</v>
      </c>
      <c r="C286" t="s">
        <v>348</v>
      </c>
      <c r="D286" t="s">
        <v>145</v>
      </c>
      <c r="E286" t="s">
        <v>1894</v>
      </c>
      <c r="F286" t="s">
        <v>1563</v>
      </c>
      <c r="G286" t="s">
        <v>789</v>
      </c>
      <c r="I286">
        <v>1335</v>
      </c>
      <c r="J286" t="s">
        <v>37</v>
      </c>
      <c r="K286" s="1">
        <v>45785</v>
      </c>
      <c r="L286" s="1"/>
      <c r="M286" s="1">
        <v>45412</v>
      </c>
      <c r="N286" s="1">
        <v>45425</v>
      </c>
      <c r="O286" s="1" t="s">
        <v>1485</v>
      </c>
      <c r="P286" t="s">
        <v>1486</v>
      </c>
      <c r="Q286" t="s">
        <v>65</v>
      </c>
      <c r="R286" t="s">
        <v>124</v>
      </c>
      <c r="S286" t="s">
        <v>45</v>
      </c>
      <c r="U286" t="s">
        <v>38</v>
      </c>
      <c r="V286" s="1">
        <v>45789</v>
      </c>
      <c r="W286" s="1" t="s">
        <v>61</v>
      </c>
      <c r="X286" t="s">
        <v>32</v>
      </c>
      <c r="Y286" s="1">
        <v>45789</v>
      </c>
      <c r="AA286" t="s">
        <v>1095</v>
      </c>
      <c r="AB286" t="s">
        <v>1631</v>
      </c>
      <c r="AC286" t="str">
        <f>INDEX('DB Description'!$A$1:$B$23,MATCH(Tabela2[[#This Row],[Filial DB code]],'DB Description'!A:A,),2)</f>
        <v>VAMOS (2131F)</v>
      </c>
      <c r="AD286" s="9">
        <f>Tabela2[[#This Row],[Issue2]]-Tabela2[[#This Row],[Failure2]]</f>
        <v>4</v>
      </c>
      <c r="AE286" t="str">
        <f t="shared" si="48"/>
        <v>FY2025</v>
      </c>
      <c r="AF286">
        <f>YEAR(Tabela2[[#This Row],[Issue2]])</f>
        <v>2025</v>
      </c>
    </row>
    <row r="287" spans="1:32" x14ac:dyDescent="0.35">
      <c r="A287" t="s">
        <v>1487</v>
      </c>
      <c r="B287" t="s">
        <v>1488</v>
      </c>
      <c r="C287" t="s">
        <v>348</v>
      </c>
      <c r="D287" t="s">
        <v>1489</v>
      </c>
      <c r="E287" t="s">
        <v>1895</v>
      </c>
      <c r="F287" t="s">
        <v>1896</v>
      </c>
      <c r="I287">
        <v>89</v>
      </c>
      <c r="J287" t="s">
        <v>332</v>
      </c>
      <c r="K287" s="1">
        <v>45761</v>
      </c>
      <c r="L287" s="1"/>
      <c r="M287" s="1">
        <v>45680</v>
      </c>
      <c r="O287" s="1" t="s">
        <v>121</v>
      </c>
      <c r="P287" t="s">
        <v>1490</v>
      </c>
      <c r="Q287" t="s">
        <v>85</v>
      </c>
      <c r="R287" t="s">
        <v>304</v>
      </c>
      <c r="S287" t="s">
        <v>45</v>
      </c>
      <c r="T287" t="s">
        <v>329</v>
      </c>
      <c r="U287" t="s">
        <v>30</v>
      </c>
      <c r="V287" s="1">
        <v>45783</v>
      </c>
      <c r="W287" s="1" t="s">
        <v>53</v>
      </c>
      <c r="X287" t="s">
        <v>32</v>
      </c>
      <c r="Y287" s="1">
        <v>45783</v>
      </c>
      <c r="AA287" t="s">
        <v>1339</v>
      </c>
      <c r="AB287" t="s">
        <v>243</v>
      </c>
      <c r="AC287" t="str">
        <f>INDEX('DB Description'!$A$1:$B$23,MATCH(Tabela2[[#This Row],[Filial DB code]],'DB Description'!A:A,),2)</f>
        <v>Bauko</v>
      </c>
      <c r="AD287" s="9">
        <f>Tabela2[[#This Row],[Issue2]]-Tabela2[[#This Row],[Failure2]]</f>
        <v>22</v>
      </c>
      <c r="AE287" t="str">
        <f t="shared" ref="AE287:AE291" si="49">"FY"&amp;IF(MONTH(Y287)&gt;=4,YEAR(Y287),YEAR(Y287)-1)</f>
        <v>FY2025</v>
      </c>
      <c r="AF287">
        <f>YEAR(Tabela2[[#This Row],[Issue2]])</f>
        <v>2025</v>
      </c>
    </row>
    <row r="288" spans="1:32" x14ac:dyDescent="0.35">
      <c r="A288" t="s">
        <v>1472</v>
      </c>
      <c r="B288" t="s">
        <v>1473</v>
      </c>
      <c r="C288" t="s">
        <v>348</v>
      </c>
      <c r="D288" t="s">
        <v>1474</v>
      </c>
      <c r="E288" t="s">
        <v>1873</v>
      </c>
      <c r="F288" t="s">
        <v>1897</v>
      </c>
      <c r="G288" t="s">
        <v>1475</v>
      </c>
      <c r="I288">
        <v>2262</v>
      </c>
      <c r="J288" t="s">
        <v>37</v>
      </c>
      <c r="K288" s="1">
        <v>45774</v>
      </c>
      <c r="L288" s="1"/>
      <c r="M288" s="1">
        <v>45076</v>
      </c>
      <c r="N288" s="1">
        <v>45252</v>
      </c>
      <c r="O288" s="1" t="s">
        <v>838</v>
      </c>
      <c r="P288" t="s">
        <v>296</v>
      </c>
      <c r="Q288" t="s">
        <v>94</v>
      </c>
      <c r="R288" t="s">
        <v>34</v>
      </c>
      <c r="S288" t="s">
        <v>45</v>
      </c>
      <c r="U288" t="s">
        <v>38</v>
      </c>
      <c r="V288" s="1">
        <v>45777</v>
      </c>
      <c r="W288" s="1" t="s">
        <v>53</v>
      </c>
      <c r="X288" t="s">
        <v>32</v>
      </c>
      <c r="Y288" s="1">
        <v>45777</v>
      </c>
      <c r="AA288" t="s">
        <v>749</v>
      </c>
      <c r="AB288" t="s">
        <v>1512</v>
      </c>
      <c r="AC288" t="str">
        <f>INDEX('DB Description'!$A$1:$B$23,MATCH(Tabela2[[#This Row],[Filial DB code]],'DB Description'!A:A,),2)</f>
        <v>Bauko</v>
      </c>
      <c r="AD288" s="9">
        <f>Tabela2[[#This Row],[Issue2]]-Tabela2[[#This Row],[Failure2]]</f>
        <v>3</v>
      </c>
      <c r="AE288" t="str">
        <f t="shared" si="49"/>
        <v>FY2025</v>
      </c>
      <c r="AF288">
        <f>YEAR(Tabela2[[#This Row],[Issue2]])</f>
        <v>2025</v>
      </c>
    </row>
    <row r="289" spans="1:32" x14ac:dyDescent="0.35">
      <c r="A289" t="s">
        <v>1461</v>
      </c>
      <c r="B289" t="s">
        <v>1462</v>
      </c>
      <c r="C289" t="s">
        <v>348</v>
      </c>
      <c r="D289" t="s">
        <v>1463</v>
      </c>
      <c r="E289" t="s">
        <v>1866</v>
      </c>
      <c r="F289" t="s">
        <v>1898</v>
      </c>
      <c r="G289" t="s">
        <v>1464</v>
      </c>
      <c r="I289">
        <v>1797</v>
      </c>
      <c r="J289" t="s">
        <v>37</v>
      </c>
      <c r="K289" s="1">
        <v>45749</v>
      </c>
      <c r="L289" s="1">
        <v>45762</v>
      </c>
      <c r="M289" s="1">
        <v>45379</v>
      </c>
      <c r="N289" s="1">
        <v>45386</v>
      </c>
      <c r="O289" s="1" t="s">
        <v>1465</v>
      </c>
      <c r="P289" t="s">
        <v>1466</v>
      </c>
      <c r="Q289" t="s">
        <v>204</v>
      </c>
      <c r="R289" t="s">
        <v>148</v>
      </c>
      <c r="S289" t="s">
        <v>45</v>
      </c>
      <c r="U289" t="s">
        <v>38</v>
      </c>
      <c r="V289" s="1">
        <v>45772</v>
      </c>
      <c r="W289" s="1" t="s">
        <v>46</v>
      </c>
      <c r="X289" t="s">
        <v>32</v>
      </c>
      <c r="Y289" s="1">
        <v>45772</v>
      </c>
      <c r="Z289" s="1" t="s">
        <v>1467</v>
      </c>
      <c r="AA289" t="s">
        <v>543</v>
      </c>
      <c r="AB289" t="s">
        <v>1518</v>
      </c>
      <c r="AC289" t="str">
        <f>INDEX('DB Description'!$A$1:$B$23,MATCH(Tabela2[[#This Row],[Filial DB code]],'DB Description'!A:A,),2)</f>
        <v xml:space="preserve">Vianmaq </v>
      </c>
      <c r="AD289" s="9">
        <f>Tabela2[[#This Row],[Issue2]]-Tabela2[[#This Row],[Failure2]]</f>
        <v>23</v>
      </c>
      <c r="AE289" t="str">
        <f t="shared" si="49"/>
        <v>FY2025</v>
      </c>
      <c r="AF289">
        <f>YEAR(Tabela2[[#This Row],[Issue2]])</f>
        <v>2025</v>
      </c>
    </row>
    <row r="290" spans="1:32" x14ac:dyDescent="0.35">
      <c r="A290" t="s">
        <v>1468</v>
      </c>
      <c r="B290" t="s">
        <v>1469</v>
      </c>
      <c r="C290" t="s">
        <v>348</v>
      </c>
      <c r="D290" t="s">
        <v>906</v>
      </c>
      <c r="E290" t="s">
        <v>1846</v>
      </c>
      <c r="F290" t="s">
        <v>1851</v>
      </c>
      <c r="I290">
        <v>2532</v>
      </c>
      <c r="J290" t="s">
        <v>37</v>
      </c>
      <c r="K290" s="1">
        <v>45761</v>
      </c>
      <c r="L290" s="1"/>
      <c r="M290" s="1">
        <v>45198</v>
      </c>
      <c r="N290" s="1">
        <v>45288</v>
      </c>
      <c r="O290" s="1" t="s">
        <v>1470</v>
      </c>
      <c r="P290" t="s">
        <v>1348</v>
      </c>
      <c r="Q290" t="s">
        <v>116</v>
      </c>
      <c r="R290" t="s">
        <v>124</v>
      </c>
      <c r="S290" t="s">
        <v>45</v>
      </c>
      <c r="U290" t="s">
        <v>38</v>
      </c>
      <c r="V290" s="1">
        <v>45770</v>
      </c>
      <c r="W290" s="1" t="s">
        <v>53</v>
      </c>
      <c r="X290" t="s">
        <v>32</v>
      </c>
      <c r="Y290" s="1">
        <v>45770</v>
      </c>
      <c r="Z290" s="1" t="s">
        <v>1471</v>
      </c>
      <c r="AA290" t="s">
        <v>328</v>
      </c>
      <c r="AB290" t="s">
        <v>1520</v>
      </c>
      <c r="AC290" t="str">
        <f>INDEX('DB Description'!$A$1:$B$23,MATCH(Tabela2[[#This Row],[Filial DB code]],'DB Description'!A:A,),2)</f>
        <v>Bauko</v>
      </c>
      <c r="AD290" s="9">
        <f>Tabela2[[#This Row],[Issue2]]-Tabela2[[#This Row],[Failure2]]</f>
        <v>9</v>
      </c>
      <c r="AE290" t="str">
        <f t="shared" si="49"/>
        <v>FY2025</v>
      </c>
      <c r="AF290">
        <f>YEAR(Tabela2[[#This Row],[Issue2]])</f>
        <v>2025</v>
      </c>
    </row>
    <row r="291" spans="1:32" x14ac:dyDescent="0.35">
      <c r="A291" t="s">
        <v>1454</v>
      </c>
      <c r="B291" t="s">
        <v>1455</v>
      </c>
      <c r="C291" t="s">
        <v>348</v>
      </c>
      <c r="D291" t="s">
        <v>274</v>
      </c>
      <c r="E291" t="s">
        <v>1894</v>
      </c>
      <c r="F291" t="s">
        <v>1899</v>
      </c>
      <c r="I291">
        <v>6340</v>
      </c>
      <c r="J291" t="s">
        <v>37</v>
      </c>
      <c r="K291" s="1">
        <v>45737</v>
      </c>
      <c r="L291" s="1"/>
      <c r="M291" s="1">
        <v>44830</v>
      </c>
      <c r="N291" s="1">
        <v>44861</v>
      </c>
      <c r="O291" s="1" t="s">
        <v>221</v>
      </c>
      <c r="P291" t="s">
        <v>221</v>
      </c>
      <c r="Q291" t="s">
        <v>327</v>
      </c>
      <c r="R291" t="s">
        <v>35</v>
      </c>
      <c r="S291" t="s">
        <v>45</v>
      </c>
      <c r="U291" t="s">
        <v>38</v>
      </c>
      <c r="V291" s="1">
        <v>45764</v>
      </c>
      <c r="W291" s="1" t="s">
        <v>53</v>
      </c>
      <c r="X291" t="s">
        <v>32</v>
      </c>
      <c r="Y291" s="1">
        <v>45764</v>
      </c>
      <c r="Z291" s="1" t="s">
        <v>1456</v>
      </c>
      <c r="AA291" t="s">
        <v>328</v>
      </c>
      <c r="AB291" t="s">
        <v>1520</v>
      </c>
      <c r="AC291" t="str">
        <f>INDEX('DB Description'!$A$1:$B$23,MATCH(Tabela2[[#This Row],[Filial DB code]],'DB Description'!A:A,),2)</f>
        <v>Bauko</v>
      </c>
      <c r="AD291" s="9">
        <f>Tabela2[[#This Row],[Issue2]]-Tabela2[[#This Row],[Failure2]]</f>
        <v>27</v>
      </c>
      <c r="AE291" t="str">
        <f t="shared" si="49"/>
        <v>FY2025</v>
      </c>
      <c r="AF291">
        <f>YEAR(Tabela2[[#This Row],[Issue2]])</f>
        <v>2025</v>
      </c>
    </row>
    <row r="292" spans="1:32" x14ac:dyDescent="0.35">
      <c r="A292" t="s">
        <v>1457</v>
      </c>
      <c r="B292" t="s">
        <v>1458</v>
      </c>
      <c r="C292" t="s">
        <v>348</v>
      </c>
      <c r="D292" t="s">
        <v>1459</v>
      </c>
      <c r="E292" t="s">
        <v>1856</v>
      </c>
      <c r="F292" t="s">
        <v>1855</v>
      </c>
      <c r="I292">
        <v>311</v>
      </c>
      <c r="J292" t="s">
        <v>332</v>
      </c>
      <c r="K292" s="1">
        <v>45747</v>
      </c>
      <c r="L292" s="1"/>
      <c r="M292" s="1">
        <v>45576</v>
      </c>
      <c r="O292" s="1" t="s">
        <v>297</v>
      </c>
      <c r="P292" t="s">
        <v>1223</v>
      </c>
      <c r="Q292" t="s">
        <v>122</v>
      </c>
      <c r="R292" t="s">
        <v>229</v>
      </c>
      <c r="S292" t="s">
        <v>45</v>
      </c>
      <c r="T292" t="s">
        <v>329</v>
      </c>
      <c r="U292" t="s">
        <v>30</v>
      </c>
      <c r="V292" s="1">
        <v>45755</v>
      </c>
      <c r="W292" s="1" t="s">
        <v>64</v>
      </c>
      <c r="X292" t="s">
        <v>32</v>
      </c>
      <c r="Y292" s="1">
        <v>45755</v>
      </c>
      <c r="Z292" s="1" t="s">
        <v>1460</v>
      </c>
      <c r="AA292" t="s">
        <v>807</v>
      </c>
      <c r="AB292" t="s">
        <v>1514</v>
      </c>
      <c r="AC292" t="str">
        <f>INDEX('DB Description'!$A$1:$B$23,MATCH(Tabela2[[#This Row],[Filial DB code]],'DB Description'!A:A,),2)</f>
        <v>Mason</v>
      </c>
      <c r="AD292" s="9">
        <f>Tabela2[[#This Row],[Issue2]]-Tabela2[[#This Row],[Failure2]]</f>
        <v>8</v>
      </c>
      <c r="AE292" t="str">
        <f t="shared" ref="AE292:AE295" si="50">"FY"&amp;IF(MONTH(Y292)&gt;=4,YEAR(Y292),YEAR(Y292)-1)</f>
        <v>FY2025</v>
      </c>
      <c r="AF292">
        <f>YEAR(Tabela2[[#This Row],[Issue2]])</f>
        <v>2025</v>
      </c>
    </row>
    <row r="293" spans="1:32" x14ac:dyDescent="0.35">
      <c r="A293" t="s">
        <v>1445</v>
      </c>
      <c r="B293" t="s">
        <v>1446</v>
      </c>
      <c r="C293" t="s">
        <v>348</v>
      </c>
      <c r="D293" t="s">
        <v>1447</v>
      </c>
      <c r="E293" t="s">
        <v>1847</v>
      </c>
      <c r="F293" t="s">
        <v>1883</v>
      </c>
      <c r="I293">
        <v>1080</v>
      </c>
      <c r="J293" t="s">
        <v>37</v>
      </c>
      <c r="K293" s="1">
        <v>45726</v>
      </c>
      <c r="L293" s="1">
        <v>45746</v>
      </c>
      <c r="M293" s="1">
        <v>45239</v>
      </c>
      <c r="N293" s="1">
        <v>45517</v>
      </c>
      <c r="O293" s="1" t="s">
        <v>244</v>
      </c>
      <c r="P293" t="s">
        <v>338</v>
      </c>
      <c r="Q293" t="s">
        <v>78</v>
      </c>
      <c r="R293" t="s">
        <v>1398</v>
      </c>
      <c r="S293" t="s">
        <v>45</v>
      </c>
      <c r="U293" t="s">
        <v>38</v>
      </c>
      <c r="V293" s="1">
        <v>45751</v>
      </c>
      <c r="W293" s="1" t="s">
        <v>53</v>
      </c>
      <c r="X293" t="s">
        <v>32</v>
      </c>
      <c r="Y293" s="1">
        <v>45751</v>
      </c>
      <c r="Z293" s="1" t="s">
        <v>1448</v>
      </c>
      <c r="AA293" t="s">
        <v>328</v>
      </c>
      <c r="AB293" t="s">
        <v>1520</v>
      </c>
      <c r="AC293" t="str">
        <f>INDEX('DB Description'!$A$1:$B$23,MATCH(Tabela2[[#This Row],[Filial DB code]],'DB Description'!A:A,),2)</f>
        <v>Bauko</v>
      </c>
      <c r="AD293" s="9">
        <f>Tabela2[[#This Row],[Issue2]]-Tabela2[[#This Row],[Failure2]]</f>
        <v>25</v>
      </c>
      <c r="AE293" t="str">
        <f t="shared" si="50"/>
        <v>FY2025</v>
      </c>
      <c r="AF293">
        <f>YEAR(Tabela2[[#This Row],[Issue2]])</f>
        <v>2025</v>
      </c>
    </row>
    <row r="294" spans="1:32" x14ac:dyDescent="0.35">
      <c r="A294" t="s">
        <v>1449</v>
      </c>
      <c r="B294" t="s">
        <v>1450</v>
      </c>
      <c r="C294" t="s">
        <v>348</v>
      </c>
      <c r="D294" t="s">
        <v>1451</v>
      </c>
      <c r="E294" t="s">
        <v>1853</v>
      </c>
      <c r="F294" t="s">
        <v>206</v>
      </c>
      <c r="I294">
        <v>1239</v>
      </c>
      <c r="J294" t="s">
        <v>37</v>
      </c>
      <c r="K294" s="1">
        <v>45740</v>
      </c>
      <c r="L294" s="1"/>
      <c r="M294" s="1">
        <v>45412</v>
      </c>
      <c r="N294" s="1">
        <v>45481</v>
      </c>
      <c r="O294" s="1" t="s">
        <v>312</v>
      </c>
      <c r="P294" t="s">
        <v>1452</v>
      </c>
      <c r="Q294" t="s">
        <v>78</v>
      </c>
      <c r="R294" t="s">
        <v>304</v>
      </c>
      <c r="S294" t="s">
        <v>45</v>
      </c>
      <c r="U294" t="s">
        <v>38</v>
      </c>
      <c r="V294" s="1">
        <v>45748</v>
      </c>
      <c r="W294" s="1" t="s">
        <v>64</v>
      </c>
      <c r="X294" t="s">
        <v>32</v>
      </c>
      <c r="Y294" s="1">
        <v>45748</v>
      </c>
      <c r="Z294" s="1" t="s">
        <v>1453</v>
      </c>
      <c r="AA294" t="s">
        <v>807</v>
      </c>
      <c r="AB294" t="s">
        <v>1514</v>
      </c>
      <c r="AC294" t="str">
        <f>INDEX('DB Description'!$A$1:$B$23,MATCH(Tabela2[[#This Row],[Filial DB code]],'DB Description'!A:A,),2)</f>
        <v>Mason</v>
      </c>
      <c r="AD294" s="9">
        <f>Tabela2[[#This Row],[Issue2]]-Tabela2[[#This Row],[Failure2]]</f>
        <v>8</v>
      </c>
      <c r="AE294" t="str">
        <f t="shared" si="50"/>
        <v>FY2025</v>
      </c>
      <c r="AF294">
        <f>YEAR(Tabela2[[#This Row],[Issue2]])</f>
        <v>2025</v>
      </c>
    </row>
    <row r="295" spans="1:32" x14ac:dyDescent="0.35">
      <c r="A295" t="s">
        <v>1436</v>
      </c>
      <c r="B295" t="s">
        <v>1437</v>
      </c>
      <c r="C295" t="s">
        <v>348</v>
      </c>
      <c r="D295" t="s">
        <v>237</v>
      </c>
      <c r="E295" t="s">
        <v>1878</v>
      </c>
      <c r="F295" t="s">
        <v>267</v>
      </c>
      <c r="I295">
        <v>150</v>
      </c>
      <c r="J295" t="s">
        <v>37</v>
      </c>
      <c r="K295" s="1">
        <v>45730</v>
      </c>
      <c r="L295" s="1"/>
      <c r="M295" s="1">
        <v>45680</v>
      </c>
      <c r="N295" s="1">
        <v>45694</v>
      </c>
      <c r="O295" s="1" t="s">
        <v>1438</v>
      </c>
      <c r="P295" t="s">
        <v>1439</v>
      </c>
      <c r="Q295" t="s">
        <v>58</v>
      </c>
      <c r="R295" t="s">
        <v>227</v>
      </c>
      <c r="S295" t="s">
        <v>45</v>
      </c>
      <c r="U295" t="s">
        <v>38</v>
      </c>
      <c r="V295" s="1">
        <v>45742</v>
      </c>
      <c r="W295" s="1" t="s">
        <v>53</v>
      </c>
      <c r="X295" t="s">
        <v>32</v>
      </c>
      <c r="Y295" s="1">
        <v>45742</v>
      </c>
      <c r="AA295" t="s">
        <v>1339</v>
      </c>
      <c r="AB295" t="s">
        <v>243</v>
      </c>
      <c r="AC295" t="str">
        <f>INDEX('DB Description'!$A$1:$B$23,MATCH(Tabela2[[#This Row],[Filial DB code]],'DB Description'!A:A,),2)</f>
        <v>Bauko</v>
      </c>
      <c r="AD295" s="9">
        <f>Tabela2[[#This Row],[Issue2]]-Tabela2[[#This Row],[Failure2]]</f>
        <v>12</v>
      </c>
      <c r="AE295" t="str">
        <f t="shared" si="50"/>
        <v>FY2024</v>
      </c>
      <c r="AF295">
        <f>YEAR(Tabela2[[#This Row],[Issue2]])</f>
        <v>2025</v>
      </c>
    </row>
    <row r="296" spans="1:32" x14ac:dyDescent="0.35">
      <c r="A296" t="s">
        <v>1440</v>
      </c>
      <c r="B296" t="s">
        <v>1441</v>
      </c>
      <c r="C296" t="s">
        <v>348</v>
      </c>
      <c r="D296" t="s">
        <v>59</v>
      </c>
      <c r="E296" t="s">
        <v>1860</v>
      </c>
      <c r="F296" t="s">
        <v>1892</v>
      </c>
      <c r="I296">
        <v>1976</v>
      </c>
      <c r="J296" t="s">
        <v>37</v>
      </c>
      <c r="K296" s="1">
        <v>45730</v>
      </c>
      <c r="L296" s="1"/>
      <c r="M296" s="1">
        <v>45253</v>
      </c>
      <c r="N296" s="1">
        <v>45328</v>
      </c>
      <c r="O296" s="1" t="s">
        <v>1442</v>
      </c>
      <c r="P296" t="s">
        <v>1443</v>
      </c>
      <c r="Q296" t="s">
        <v>66</v>
      </c>
      <c r="R296" t="s">
        <v>304</v>
      </c>
      <c r="S296" t="s">
        <v>45</v>
      </c>
      <c r="U296" t="s">
        <v>38</v>
      </c>
      <c r="V296" s="1">
        <v>45741</v>
      </c>
      <c r="W296" s="1" t="s">
        <v>64</v>
      </c>
      <c r="X296" t="s">
        <v>32</v>
      </c>
      <c r="Y296" s="1">
        <v>45741</v>
      </c>
      <c r="Z296" s="1" t="s">
        <v>1444</v>
      </c>
      <c r="AA296" t="s">
        <v>807</v>
      </c>
      <c r="AB296" t="s">
        <v>1514</v>
      </c>
      <c r="AC296" t="str">
        <f>INDEX('DB Description'!$A$1:$B$23,MATCH(Tabela2[[#This Row],[Filial DB code]],'DB Description'!A:A,),2)</f>
        <v>Mason</v>
      </c>
      <c r="AD296" s="9">
        <f>Tabela2[[#This Row],[Issue2]]-Tabela2[[#This Row],[Failure2]]</f>
        <v>11</v>
      </c>
      <c r="AE296" t="str">
        <f t="shared" ref="AE296:AE300" si="51">"FY"&amp;IF(MONTH(Y296)&gt;=4,YEAR(Y296),YEAR(Y296)-1)</f>
        <v>FY2024</v>
      </c>
      <c r="AF296">
        <f>YEAR(Tabela2[[#This Row],[Issue2]])</f>
        <v>2025</v>
      </c>
    </row>
    <row r="297" spans="1:32" x14ac:dyDescent="0.35">
      <c r="A297" t="s">
        <v>1434</v>
      </c>
      <c r="B297" t="s">
        <v>1435</v>
      </c>
      <c r="C297" t="s">
        <v>348</v>
      </c>
      <c r="D297" t="s">
        <v>210</v>
      </c>
      <c r="E297" t="s">
        <v>1866</v>
      </c>
      <c r="F297" t="s">
        <v>1865</v>
      </c>
      <c r="I297">
        <v>442</v>
      </c>
      <c r="J297" t="s">
        <v>37</v>
      </c>
      <c r="K297" s="1">
        <v>45729</v>
      </c>
      <c r="L297" s="1"/>
      <c r="M297" s="1">
        <v>45622</v>
      </c>
      <c r="N297" s="1">
        <v>45643</v>
      </c>
      <c r="O297" s="1" t="s">
        <v>202</v>
      </c>
      <c r="P297" t="s">
        <v>264</v>
      </c>
      <c r="Q297" t="s">
        <v>176</v>
      </c>
      <c r="R297" t="s">
        <v>148</v>
      </c>
      <c r="S297" t="s">
        <v>45</v>
      </c>
      <c r="U297" t="s">
        <v>38</v>
      </c>
      <c r="V297" s="1">
        <v>45736</v>
      </c>
      <c r="W297" s="1" t="s">
        <v>53</v>
      </c>
      <c r="X297" t="s">
        <v>32</v>
      </c>
      <c r="Y297" s="1">
        <v>45736</v>
      </c>
      <c r="AA297" t="s">
        <v>1339</v>
      </c>
      <c r="AB297" t="s">
        <v>243</v>
      </c>
      <c r="AC297" t="str">
        <f>INDEX('DB Description'!$A$1:$B$23,MATCH(Tabela2[[#This Row],[Filial DB code]],'DB Description'!A:A,),2)</f>
        <v>Bauko</v>
      </c>
      <c r="AD297" s="9">
        <f>Tabela2[[#This Row],[Issue2]]-Tabela2[[#This Row],[Failure2]]</f>
        <v>7</v>
      </c>
      <c r="AE297" t="str">
        <f t="shared" si="51"/>
        <v>FY2024</v>
      </c>
      <c r="AF297">
        <f>YEAR(Tabela2[[#This Row],[Issue2]])</f>
        <v>2025</v>
      </c>
    </row>
    <row r="298" spans="1:32" x14ac:dyDescent="0.35">
      <c r="A298" t="s">
        <v>1419</v>
      </c>
      <c r="B298" t="s">
        <v>1420</v>
      </c>
      <c r="C298" t="s">
        <v>348</v>
      </c>
      <c r="D298" t="s">
        <v>107</v>
      </c>
      <c r="E298" t="s">
        <v>1846</v>
      </c>
      <c r="F298" t="s">
        <v>1851</v>
      </c>
      <c r="G298" t="s">
        <v>1421</v>
      </c>
      <c r="I298">
        <v>1763</v>
      </c>
      <c r="J298" t="s">
        <v>37</v>
      </c>
      <c r="K298" s="1">
        <v>45728</v>
      </c>
      <c r="L298" s="1"/>
      <c r="M298" s="1">
        <v>45140</v>
      </c>
      <c r="N298" s="1">
        <v>45196</v>
      </c>
      <c r="O298" s="1" t="s">
        <v>1049</v>
      </c>
      <c r="P298" t="s">
        <v>1422</v>
      </c>
      <c r="Q298" t="s">
        <v>116</v>
      </c>
      <c r="R298" t="s">
        <v>40</v>
      </c>
      <c r="S298" t="s">
        <v>45</v>
      </c>
      <c r="U298" t="s">
        <v>38</v>
      </c>
      <c r="V298" s="1">
        <v>45729</v>
      </c>
      <c r="W298" s="1" t="s">
        <v>49</v>
      </c>
      <c r="X298" t="s">
        <v>32</v>
      </c>
      <c r="Y298" s="1">
        <v>45729</v>
      </c>
      <c r="Z298" s="1" t="s">
        <v>1423</v>
      </c>
      <c r="AA298" t="s">
        <v>385</v>
      </c>
      <c r="AB298" t="s">
        <v>302</v>
      </c>
      <c r="AC298" t="str">
        <f>INDEX('DB Description'!$A$1:$B$23,MATCH(Tabela2[[#This Row],[Filial DB code]],'DB Description'!A:A,),2)</f>
        <v>DCDN</v>
      </c>
      <c r="AD298" s="9">
        <f>Tabela2[[#This Row],[Issue2]]-Tabela2[[#This Row],[Failure2]]</f>
        <v>1</v>
      </c>
      <c r="AE298" t="str">
        <f t="shared" si="51"/>
        <v>FY2024</v>
      </c>
      <c r="AF298">
        <f>YEAR(Tabela2[[#This Row],[Issue2]])</f>
        <v>2025</v>
      </c>
    </row>
    <row r="299" spans="1:32" x14ac:dyDescent="0.35">
      <c r="A299" t="s">
        <v>1404</v>
      </c>
      <c r="B299" t="s">
        <v>1564</v>
      </c>
      <c r="C299" t="s">
        <v>348</v>
      </c>
      <c r="D299" t="s">
        <v>1405</v>
      </c>
      <c r="E299" t="s">
        <v>1873</v>
      </c>
      <c r="F299" t="s">
        <v>1887</v>
      </c>
      <c r="G299" t="s">
        <v>1565</v>
      </c>
      <c r="I299">
        <v>472</v>
      </c>
      <c r="J299" t="s">
        <v>37</v>
      </c>
      <c r="K299" s="1">
        <v>45712</v>
      </c>
      <c r="L299" s="1">
        <v>45712</v>
      </c>
      <c r="M299" s="1">
        <v>45462</v>
      </c>
      <c r="N299" s="1">
        <v>45527</v>
      </c>
      <c r="O299" s="1" t="s">
        <v>1566</v>
      </c>
      <c r="P299" t="s">
        <v>1567</v>
      </c>
      <c r="Q299" t="s">
        <v>94</v>
      </c>
      <c r="R299" t="s">
        <v>35</v>
      </c>
      <c r="S299" t="s">
        <v>45</v>
      </c>
      <c r="U299" t="s">
        <v>38</v>
      </c>
      <c r="V299" s="1">
        <v>45726</v>
      </c>
      <c r="W299" s="1" t="s">
        <v>61</v>
      </c>
      <c r="X299" t="s">
        <v>32</v>
      </c>
      <c r="Y299" s="1">
        <v>45726</v>
      </c>
      <c r="AA299" t="s">
        <v>1095</v>
      </c>
      <c r="AB299" t="s">
        <v>1631</v>
      </c>
      <c r="AC299" t="str">
        <f>INDEX('DB Description'!$A$1:$B$23,MATCH(Tabela2[[#This Row],[Filial DB code]],'DB Description'!A:A,),2)</f>
        <v>VAMOS (2131F)</v>
      </c>
      <c r="AD299" s="9">
        <f>Tabela2[[#This Row],[Issue2]]-Tabela2[[#This Row],[Failure2]]</f>
        <v>14</v>
      </c>
      <c r="AE299" t="str">
        <f t="shared" si="51"/>
        <v>FY2024</v>
      </c>
      <c r="AF299">
        <f>YEAR(Tabela2[[#This Row],[Issue2]])</f>
        <v>2025</v>
      </c>
    </row>
    <row r="300" spans="1:32" x14ac:dyDescent="0.35">
      <c r="A300" t="s">
        <v>1406</v>
      </c>
      <c r="B300" t="s">
        <v>1407</v>
      </c>
      <c r="C300" t="s">
        <v>348</v>
      </c>
      <c r="D300" t="s">
        <v>152</v>
      </c>
      <c r="E300" s="4" t="s">
        <v>1862</v>
      </c>
      <c r="F300" t="s">
        <v>1888</v>
      </c>
      <c r="G300" t="s">
        <v>1408</v>
      </c>
      <c r="I300">
        <v>1249</v>
      </c>
      <c r="J300" t="s">
        <v>37</v>
      </c>
      <c r="K300" s="1">
        <v>45707</v>
      </c>
      <c r="L300" s="1"/>
      <c r="M300" s="1">
        <v>45364</v>
      </c>
      <c r="N300" s="1">
        <v>45378</v>
      </c>
      <c r="O300" s="1" t="s">
        <v>624</v>
      </c>
      <c r="P300" t="s">
        <v>254</v>
      </c>
      <c r="Q300" t="s">
        <v>204</v>
      </c>
      <c r="R300" t="s">
        <v>229</v>
      </c>
      <c r="S300" t="s">
        <v>45</v>
      </c>
      <c r="U300" t="s">
        <v>38</v>
      </c>
      <c r="V300" s="1">
        <v>45726</v>
      </c>
      <c r="W300" s="1" t="s">
        <v>46</v>
      </c>
      <c r="X300" t="s">
        <v>32</v>
      </c>
      <c r="Y300" s="1">
        <v>45726</v>
      </c>
      <c r="Z300" s="1" t="s">
        <v>1409</v>
      </c>
      <c r="AA300" t="s">
        <v>543</v>
      </c>
      <c r="AB300" t="s">
        <v>1518</v>
      </c>
      <c r="AC300" t="str">
        <f>INDEX('DB Description'!$A$1:$B$23,MATCH(Tabela2[[#This Row],[Filial DB code]],'DB Description'!A:A,),2)</f>
        <v xml:space="preserve">Vianmaq </v>
      </c>
      <c r="AD300" s="9">
        <f>Tabela2[[#This Row],[Issue2]]-Tabela2[[#This Row],[Failure2]]</f>
        <v>19</v>
      </c>
      <c r="AE300" t="str">
        <f t="shared" si="51"/>
        <v>FY2024</v>
      </c>
      <c r="AF300">
        <f>YEAR(Tabela2[[#This Row],[Issue2]])</f>
        <v>2025</v>
      </c>
    </row>
    <row r="301" spans="1:32" x14ac:dyDescent="0.35">
      <c r="A301" t="s">
        <v>1411</v>
      </c>
      <c r="B301" t="s">
        <v>1412</v>
      </c>
      <c r="C301" t="s">
        <v>348</v>
      </c>
      <c r="D301" t="s">
        <v>152</v>
      </c>
      <c r="E301" t="s">
        <v>1889</v>
      </c>
      <c r="F301" t="s">
        <v>1890</v>
      </c>
      <c r="G301" t="s">
        <v>1413</v>
      </c>
      <c r="I301">
        <v>1259</v>
      </c>
      <c r="J301" t="s">
        <v>37</v>
      </c>
      <c r="K301" s="1">
        <v>45713</v>
      </c>
      <c r="L301" s="1"/>
      <c r="M301" s="1">
        <v>45364</v>
      </c>
      <c r="N301" s="1">
        <v>45378</v>
      </c>
      <c r="O301" s="1" t="s">
        <v>1414</v>
      </c>
      <c r="P301" t="s">
        <v>1415</v>
      </c>
      <c r="Q301" t="s">
        <v>204</v>
      </c>
      <c r="R301" t="s">
        <v>40</v>
      </c>
      <c r="S301" t="s">
        <v>45</v>
      </c>
      <c r="U301" t="s">
        <v>38</v>
      </c>
      <c r="V301" s="1">
        <v>45722</v>
      </c>
      <c r="W301" s="1" t="s">
        <v>46</v>
      </c>
      <c r="X301" t="s">
        <v>32</v>
      </c>
      <c r="Y301" s="1">
        <v>45723</v>
      </c>
      <c r="AA301" t="s">
        <v>543</v>
      </c>
      <c r="AB301" t="s">
        <v>1518</v>
      </c>
      <c r="AC301" t="str">
        <f>INDEX('DB Description'!$A$1:$B$23,MATCH(Tabela2[[#This Row],[Filial DB code]],'DB Description'!A:A,),2)</f>
        <v xml:space="preserve">Vianmaq </v>
      </c>
      <c r="AD301" s="9">
        <f>Tabela2[[#This Row],[Issue2]]-Tabela2[[#This Row],[Failure2]]</f>
        <v>10</v>
      </c>
      <c r="AE301" t="str">
        <f t="shared" ref="AE301:AE305" si="52">"FY"&amp;IF(MONTH(Y301)&gt;=4,YEAR(Y301),YEAR(Y301)-1)</f>
        <v>FY2024</v>
      </c>
      <c r="AF301">
        <f>YEAR(Tabela2[[#This Row],[Issue2]])</f>
        <v>2025</v>
      </c>
    </row>
    <row r="302" spans="1:32" x14ac:dyDescent="0.35">
      <c r="A302" t="s">
        <v>1416</v>
      </c>
      <c r="B302" t="s">
        <v>1417</v>
      </c>
      <c r="C302" t="s">
        <v>348</v>
      </c>
      <c r="D302" t="s">
        <v>320</v>
      </c>
      <c r="E302" t="s">
        <v>1866</v>
      </c>
      <c r="F302" t="s">
        <v>1865</v>
      </c>
      <c r="G302" t="s">
        <v>1359</v>
      </c>
      <c r="I302">
        <v>1170</v>
      </c>
      <c r="J302" t="s">
        <v>37</v>
      </c>
      <c r="K302" s="1">
        <v>45706</v>
      </c>
      <c r="L302" s="1">
        <v>45706</v>
      </c>
      <c r="M302" s="1">
        <v>45422</v>
      </c>
      <c r="N302" s="1">
        <v>45477</v>
      </c>
      <c r="O302" s="1" t="s">
        <v>480</v>
      </c>
      <c r="P302" t="s">
        <v>480</v>
      </c>
      <c r="Q302" t="s">
        <v>42</v>
      </c>
      <c r="R302" t="s">
        <v>70</v>
      </c>
      <c r="S302" t="s">
        <v>45</v>
      </c>
      <c r="U302" t="s">
        <v>38</v>
      </c>
      <c r="V302" s="1">
        <v>45719</v>
      </c>
      <c r="W302" s="1" t="s">
        <v>61</v>
      </c>
      <c r="X302" t="s">
        <v>32</v>
      </c>
      <c r="Y302" s="1">
        <v>45719</v>
      </c>
      <c r="AA302" t="s">
        <v>1095</v>
      </c>
      <c r="AB302" t="s">
        <v>1631</v>
      </c>
      <c r="AC302" t="str">
        <f>INDEX('DB Description'!$A$1:$B$23,MATCH(Tabela2[[#This Row],[Filial DB code]],'DB Description'!A:A,),2)</f>
        <v>VAMOS (2131F)</v>
      </c>
      <c r="AD302" s="9">
        <f>Tabela2[[#This Row],[Issue2]]-Tabela2[[#This Row],[Failure2]]</f>
        <v>13</v>
      </c>
      <c r="AE302" t="str">
        <f t="shared" si="52"/>
        <v>FY2024</v>
      </c>
      <c r="AF302">
        <f>YEAR(Tabela2[[#This Row],[Issue2]])</f>
        <v>2025</v>
      </c>
    </row>
    <row r="303" spans="1:32" x14ac:dyDescent="0.35">
      <c r="A303" t="s">
        <v>1424</v>
      </c>
      <c r="B303" t="s">
        <v>1425</v>
      </c>
      <c r="C303" t="s">
        <v>1135</v>
      </c>
      <c r="D303" t="s">
        <v>105</v>
      </c>
      <c r="E303" t="s">
        <v>1846</v>
      </c>
      <c r="F303" t="s">
        <v>1854</v>
      </c>
      <c r="G303" t="s">
        <v>1426</v>
      </c>
      <c r="I303">
        <v>748</v>
      </c>
      <c r="J303" t="s">
        <v>332</v>
      </c>
      <c r="K303" s="1">
        <v>45698</v>
      </c>
      <c r="L303" s="1"/>
      <c r="M303" s="1">
        <v>45440</v>
      </c>
      <c r="N303" s="1">
        <v>45481</v>
      </c>
      <c r="O303" s="1" t="s">
        <v>1153</v>
      </c>
      <c r="P303" t="s">
        <v>1410</v>
      </c>
      <c r="Q303" t="s">
        <v>116</v>
      </c>
      <c r="R303" t="s">
        <v>193</v>
      </c>
      <c r="S303" t="s">
        <v>45</v>
      </c>
      <c r="T303" t="s">
        <v>329</v>
      </c>
      <c r="U303" t="s">
        <v>30</v>
      </c>
      <c r="V303" s="1">
        <v>45713</v>
      </c>
      <c r="W303" s="1" t="s">
        <v>46</v>
      </c>
      <c r="X303" t="s">
        <v>32</v>
      </c>
      <c r="Y303" s="1">
        <v>45713</v>
      </c>
      <c r="Z303" s="1" t="s">
        <v>1427</v>
      </c>
      <c r="AA303" t="s">
        <v>543</v>
      </c>
      <c r="AB303" t="s">
        <v>1518</v>
      </c>
      <c r="AC303" t="str">
        <f>INDEX('DB Description'!$A$1:$B$23,MATCH(Tabela2[[#This Row],[Filial DB code]],'DB Description'!A:A,),2)</f>
        <v xml:space="preserve">Vianmaq </v>
      </c>
      <c r="AD303" s="9">
        <f>Tabela2[[#This Row],[Issue2]]-Tabela2[[#This Row],[Failure2]]</f>
        <v>15</v>
      </c>
      <c r="AE303" t="str">
        <f t="shared" si="52"/>
        <v>FY2024</v>
      </c>
      <c r="AF303">
        <f>YEAR(Tabela2[[#This Row],[Issue2]])</f>
        <v>2025</v>
      </c>
    </row>
    <row r="304" spans="1:32" x14ac:dyDescent="0.35">
      <c r="A304" t="s">
        <v>1428</v>
      </c>
      <c r="B304" t="s">
        <v>870</v>
      </c>
      <c r="C304" t="s">
        <v>348</v>
      </c>
      <c r="D304" t="s">
        <v>911</v>
      </c>
      <c r="E304" t="s">
        <v>1847</v>
      </c>
      <c r="F304" t="s">
        <v>1883</v>
      </c>
      <c r="I304">
        <v>2461</v>
      </c>
      <c r="J304" t="s">
        <v>37</v>
      </c>
      <c r="K304" s="1">
        <v>45702</v>
      </c>
      <c r="L304" s="1"/>
      <c r="M304" s="1">
        <v>45145</v>
      </c>
      <c r="N304" s="1">
        <v>45202</v>
      </c>
      <c r="O304" s="1" t="s">
        <v>244</v>
      </c>
      <c r="P304" t="s">
        <v>245</v>
      </c>
      <c r="Q304" t="s">
        <v>78</v>
      </c>
      <c r="R304" t="s">
        <v>50</v>
      </c>
      <c r="S304" t="s">
        <v>45</v>
      </c>
      <c r="U304" t="s">
        <v>38</v>
      </c>
      <c r="V304" s="1">
        <v>45709</v>
      </c>
      <c r="W304" s="1" t="s">
        <v>53</v>
      </c>
      <c r="X304" t="s">
        <v>32</v>
      </c>
      <c r="Y304" s="1">
        <v>45712</v>
      </c>
      <c r="AA304" t="s">
        <v>528</v>
      </c>
      <c r="AB304" t="s">
        <v>1520</v>
      </c>
      <c r="AC304" t="str">
        <f>INDEX('DB Description'!$A$1:$B$23,MATCH(Tabela2[[#This Row],[Filial DB code]],'DB Description'!A:A,),2)</f>
        <v>Bauko</v>
      </c>
      <c r="AD304" s="9">
        <f>Tabela2[[#This Row],[Issue2]]-Tabela2[[#This Row],[Failure2]]</f>
        <v>10</v>
      </c>
      <c r="AE304" t="str">
        <f t="shared" si="52"/>
        <v>FY2024</v>
      </c>
      <c r="AF304">
        <f>YEAR(Tabela2[[#This Row],[Issue2]])</f>
        <v>2025</v>
      </c>
    </row>
    <row r="305" spans="1:32" x14ac:dyDescent="0.35">
      <c r="A305" t="s">
        <v>1429</v>
      </c>
      <c r="B305" t="s">
        <v>1430</v>
      </c>
      <c r="C305" t="s">
        <v>348</v>
      </c>
      <c r="D305" t="s">
        <v>68</v>
      </c>
      <c r="E305" t="s">
        <v>1858</v>
      </c>
      <c r="F305" t="s">
        <v>1891</v>
      </c>
      <c r="G305" t="s">
        <v>1431</v>
      </c>
      <c r="I305">
        <v>2501</v>
      </c>
      <c r="J305" t="s">
        <v>332</v>
      </c>
      <c r="K305" s="1">
        <v>45705</v>
      </c>
      <c r="L305" s="1"/>
      <c r="M305" s="1">
        <v>45121</v>
      </c>
      <c r="N305" s="1">
        <v>45174</v>
      </c>
      <c r="O305" s="1" t="s">
        <v>1432</v>
      </c>
      <c r="P305" t="s">
        <v>1433</v>
      </c>
      <c r="Q305" t="s">
        <v>78</v>
      </c>
      <c r="R305" t="s">
        <v>304</v>
      </c>
      <c r="S305" t="s">
        <v>45</v>
      </c>
      <c r="T305" t="s">
        <v>329</v>
      </c>
      <c r="U305" t="s">
        <v>30</v>
      </c>
      <c r="V305" s="1">
        <v>45705</v>
      </c>
      <c r="W305" s="1" t="s">
        <v>53</v>
      </c>
      <c r="X305" t="s">
        <v>32</v>
      </c>
      <c r="Y305" s="1">
        <v>45705</v>
      </c>
      <c r="AA305" t="s">
        <v>528</v>
      </c>
      <c r="AB305" t="s">
        <v>1520</v>
      </c>
      <c r="AC305" t="str">
        <f>INDEX('DB Description'!$A$1:$B$23,MATCH(Tabela2[[#This Row],[Filial DB code]],'DB Description'!A:A,),2)</f>
        <v>Bauko</v>
      </c>
      <c r="AD305" s="9">
        <f>Tabela2[[#This Row],[Issue2]]-Tabela2[[#This Row],[Failure2]]</f>
        <v>0</v>
      </c>
      <c r="AE305" t="str">
        <f t="shared" si="52"/>
        <v>FY2024</v>
      </c>
      <c r="AF305">
        <f>YEAR(Tabela2[[#This Row],[Issue2]])</f>
        <v>2025</v>
      </c>
    </row>
    <row r="306" spans="1:32" x14ac:dyDescent="0.35">
      <c r="A306" t="s">
        <v>1361</v>
      </c>
      <c r="B306" t="s">
        <v>1362</v>
      </c>
      <c r="C306" t="s">
        <v>1135</v>
      </c>
      <c r="D306" t="s">
        <v>1363</v>
      </c>
      <c r="E306" t="s">
        <v>1866</v>
      </c>
      <c r="F306" t="s">
        <v>266</v>
      </c>
      <c r="I306">
        <v>143</v>
      </c>
      <c r="J306" t="s">
        <v>37</v>
      </c>
      <c r="K306" s="1">
        <v>45667</v>
      </c>
      <c r="L306" s="1"/>
      <c r="M306" s="1">
        <v>45442</v>
      </c>
      <c r="N306" s="1">
        <v>45614</v>
      </c>
      <c r="O306" s="1" t="s">
        <v>1364</v>
      </c>
      <c r="P306" t="s">
        <v>1365</v>
      </c>
      <c r="Q306" t="s">
        <v>176</v>
      </c>
      <c r="R306" t="s">
        <v>148</v>
      </c>
      <c r="S306" t="s">
        <v>45</v>
      </c>
      <c r="U306" t="s">
        <v>38</v>
      </c>
      <c r="V306" s="1">
        <v>45700</v>
      </c>
      <c r="W306" s="1" t="s">
        <v>53</v>
      </c>
      <c r="X306" t="s">
        <v>32</v>
      </c>
      <c r="Y306" s="1">
        <v>45700</v>
      </c>
      <c r="AA306" t="s">
        <v>1339</v>
      </c>
      <c r="AB306" t="s">
        <v>243</v>
      </c>
      <c r="AC306" t="str">
        <f>INDEX('DB Description'!$A$1:$B$23,MATCH(Tabela2[[#This Row],[Filial DB code]],'DB Description'!A:A,),2)</f>
        <v>Bauko</v>
      </c>
      <c r="AD306" s="9">
        <f>Tabela2[[#This Row],[Issue2]]-Tabela2[[#This Row],[Failure2]]</f>
        <v>33</v>
      </c>
      <c r="AE306" t="str">
        <f t="shared" ref="AE306:AE310" si="53">"FY"&amp;IF(MONTH(Y306)&gt;=4,YEAR(Y306),YEAR(Y306)-1)</f>
        <v>FY2024</v>
      </c>
      <c r="AF306">
        <f>YEAR(Tabela2[[#This Row],[Issue2]])</f>
        <v>2025</v>
      </c>
    </row>
    <row r="307" spans="1:32" x14ac:dyDescent="0.35">
      <c r="A307" t="s">
        <v>1367</v>
      </c>
      <c r="B307" t="s">
        <v>1368</v>
      </c>
      <c r="C307" t="s">
        <v>348</v>
      </c>
      <c r="D307" t="s">
        <v>1369</v>
      </c>
      <c r="E307" t="s">
        <v>1873</v>
      </c>
      <c r="F307" t="s">
        <v>1887</v>
      </c>
      <c r="G307" t="s">
        <v>1072</v>
      </c>
      <c r="I307">
        <v>364</v>
      </c>
      <c r="J307" t="s">
        <v>37</v>
      </c>
      <c r="K307" s="1">
        <v>45671</v>
      </c>
      <c r="L307" s="1">
        <v>45684</v>
      </c>
      <c r="M307" s="1">
        <v>45421</v>
      </c>
      <c r="N307" s="1">
        <v>45478</v>
      </c>
      <c r="O307" s="1" t="s">
        <v>1370</v>
      </c>
      <c r="P307" t="s">
        <v>271</v>
      </c>
      <c r="Q307" t="s">
        <v>94</v>
      </c>
      <c r="R307" t="s">
        <v>50</v>
      </c>
      <c r="S307" t="s">
        <v>45</v>
      </c>
      <c r="U307" t="s">
        <v>38</v>
      </c>
      <c r="V307" s="1">
        <v>45699</v>
      </c>
      <c r="W307" s="1" t="s">
        <v>61</v>
      </c>
      <c r="X307" t="s">
        <v>32</v>
      </c>
      <c r="Y307" s="1">
        <v>45699</v>
      </c>
      <c r="AA307" t="s">
        <v>1095</v>
      </c>
      <c r="AB307" t="s">
        <v>1631</v>
      </c>
      <c r="AC307" t="str">
        <f>INDEX('DB Description'!$A$1:$B$23,MATCH(Tabela2[[#This Row],[Filial DB code]],'DB Description'!A:A,),2)</f>
        <v>VAMOS (2131F)</v>
      </c>
      <c r="AD307" s="9">
        <f>Tabela2[[#This Row],[Issue2]]-Tabela2[[#This Row],[Failure2]]</f>
        <v>28</v>
      </c>
      <c r="AE307" t="str">
        <f t="shared" si="53"/>
        <v>FY2024</v>
      </c>
      <c r="AF307">
        <f>YEAR(Tabela2[[#This Row],[Issue2]])</f>
        <v>2025</v>
      </c>
    </row>
    <row r="308" spans="1:32" x14ac:dyDescent="0.35">
      <c r="A308" t="s">
        <v>1371</v>
      </c>
      <c r="B308" t="s">
        <v>1372</v>
      </c>
      <c r="C308" t="s">
        <v>348</v>
      </c>
      <c r="D308" t="s">
        <v>114</v>
      </c>
      <c r="E308" t="s">
        <v>1885</v>
      </c>
      <c r="F308" t="s">
        <v>1886</v>
      </c>
      <c r="G308" t="s">
        <v>1373</v>
      </c>
      <c r="I308">
        <v>2339</v>
      </c>
      <c r="J308" t="s">
        <v>37</v>
      </c>
      <c r="K308" s="1">
        <v>45695</v>
      </c>
      <c r="L308" s="1"/>
      <c r="M308" s="1">
        <v>45187</v>
      </c>
      <c r="N308" s="1">
        <v>45215</v>
      </c>
      <c r="O308" s="1" t="s">
        <v>1374</v>
      </c>
      <c r="P308" t="s">
        <v>1373</v>
      </c>
      <c r="Q308" t="s">
        <v>78</v>
      </c>
      <c r="R308" t="s">
        <v>304</v>
      </c>
      <c r="S308" t="s">
        <v>45</v>
      </c>
      <c r="U308" t="s">
        <v>38</v>
      </c>
      <c r="V308" s="1">
        <v>45699</v>
      </c>
      <c r="W308" s="1" t="s">
        <v>53</v>
      </c>
      <c r="X308" t="s">
        <v>32</v>
      </c>
      <c r="Y308" s="1">
        <v>45699</v>
      </c>
      <c r="AA308" t="s">
        <v>749</v>
      </c>
      <c r="AB308" t="s">
        <v>1512</v>
      </c>
      <c r="AC308" t="str">
        <f>INDEX('DB Description'!$A$1:$B$23,MATCH(Tabela2[[#This Row],[Filial DB code]],'DB Description'!A:A,),2)</f>
        <v>Bauko</v>
      </c>
      <c r="AD308" s="9">
        <f>Tabela2[[#This Row],[Issue2]]-Tabela2[[#This Row],[Failure2]]</f>
        <v>4</v>
      </c>
      <c r="AE308" t="str">
        <f t="shared" si="53"/>
        <v>FY2024</v>
      </c>
      <c r="AF308">
        <f>YEAR(Tabela2[[#This Row],[Issue2]])</f>
        <v>2025</v>
      </c>
    </row>
    <row r="309" spans="1:32" x14ac:dyDescent="0.35">
      <c r="A309" t="s">
        <v>1375</v>
      </c>
      <c r="B309" t="s">
        <v>1376</v>
      </c>
      <c r="C309" t="s">
        <v>1135</v>
      </c>
      <c r="D309" t="s">
        <v>156</v>
      </c>
      <c r="E309" t="s">
        <v>1884</v>
      </c>
      <c r="F309" t="s">
        <v>1511</v>
      </c>
      <c r="G309" t="s">
        <v>1377</v>
      </c>
      <c r="I309">
        <v>10</v>
      </c>
      <c r="J309" t="s">
        <v>332</v>
      </c>
      <c r="K309" s="1">
        <v>45691</v>
      </c>
      <c r="L309" s="1"/>
      <c r="M309" s="1">
        <v>45646</v>
      </c>
      <c r="O309" s="1" t="s">
        <v>354</v>
      </c>
      <c r="P309" t="s">
        <v>282</v>
      </c>
      <c r="Q309" t="s">
        <v>327</v>
      </c>
      <c r="R309" t="s">
        <v>304</v>
      </c>
      <c r="S309" t="s">
        <v>45</v>
      </c>
      <c r="T309" t="s">
        <v>329</v>
      </c>
      <c r="U309" t="s">
        <v>30</v>
      </c>
      <c r="V309" s="1">
        <v>45694</v>
      </c>
      <c r="W309" s="1" t="s">
        <v>64</v>
      </c>
      <c r="X309" t="s">
        <v>32</v>
      </c>
      <c r="Y309" s="1">
        <v>45694</v>
      </c>
      <c r="Z309" s="1" t="s">
        <v>1378</v>
      </c>
      <c r="AA309" t="s">
        <v>807</v>
      </c>
      <c r="AB309" t="s">
        <v>1514</v>
      </c>
      <c r="AC309" t="str">
        <f>INDEX('DB Description'!$A$1:$B$23,MATCH(Tabela2[[#This Row],[Filial DB code]],'DB Description'!A:A,),2)</f>
        <v>Mason</v>
      </c>
      <c r="AD309" s="9">
        <f>Tabela2[[#This Row],[Issue2]]-Tabela2[[#This Row],[Failure2]]</f>
        <v>3</v>
      </c>
      <c r="AE309" t="str">
        <f t="shared" si="53"/>
        <v>FY2024</v>
      </c>
      <c r="AF309">
        <f>YEAR(Tabela2[[#This Row],[Issue2]])</f>
        <v>2025</v>
      </c>
    </row>
    <row r="310" spans="1:32" x14ac:dyDescent="0.35">
      <c r="A310" t="s">
        <v>1379</v>
      </c>
      <c r="B310" t="s">
        <v>1380</v>
      </c>
      <c r="C310" t="s">
        <v>348</v>
      </c>
      <c r="D310" t="s">
        <v>145</v>
      </c>
      <c r="E310" t="s">
        <v>1866</v>
      </c>
      <c r="F310" t="s">
        <v>1865</v>
      </c>
      <c r="G310" t="s">
        <v>1359</v>
      </c>
      <c r="I310">
        <v>994</v>
      </c>
      <c r="J310" t="s">
        <v>37</v>
      </c>
      <c r="K310" s="1">
        <v>45679</v>
      </c>
      <c r="L310" s="1">
        <v>45679</v>
      </c>
      <c r="M310" s="1">
        <v>45412</v>
      </c>
      <c r="N310" s="1">
        <v>45425</v>
      </c>
      <c r="O310" s="1" t="s">
        <v>1360</v>
      </c>
      <c r="P310" t="s">
        <v>1360</v>
      </c>
      <c r="Q310" t="s">
        <v>42</v>
      </c>
      <c r="R310" t="s">
        <v>70</v>
      </c>
      <c r="S310" t="s">
        <v>45</v>
      </c>
      <c r="U310" t="s">
        <v>38</v>
      </c>
      <c r="V310" s="1">
        <v>45693</v>
      </c>
      <c r="W310" s="1" t="s">
        <v>61</v>
      </c>
      <c r="X310" t="s">
        <v>32</v>
      </c>
      <c r="Y310" s="1">
        <v>45693</v>
      </c>
      <c r="AA310" t="s">
        <v>1095</v>
      </c>
      <c r="AB310" t="s">
        <v>1631</v>
      </c>
      <c r="AC310" t="str">
        <f>INDEX('DB Description'!$A$1:$B$23,MATCH(Tabela2[[#This Row],[Filial DB code]],'DB Description'!A:A,),2)</f>
        <v>VAMOS (2131F)</v>
      </c>
      <c r="AD310" s="9">
        <f>Tabela2[[#This Row],[Issue2]]-Tabela2[[#This Row],[Failure2]]</f>
        <v>14</v>
      </c>
      <c r="AE310" t="str">
        <f t="shared" si="53"/>
        <v>FY2024</v>
      </c>
      <c r="AF310">
        <f>YEAR(Tabela2[[#This Row],[Issue2]])</f>
        <v>2025</v>
      </c>
    </row>
    <row r="311" spans="1:32" x14ac:dyDescent="0.35">
      <c r="A311" t="s">
        <v>1381</v>
      </c>
      <c r="B311" t="s">
        <v>1382</v>
      </c>
      <c r="C311" t="s">
        <v>348</v>
      </c>
      <c r="D311" t="s">
        <v>1383</v>
      </c>
      <c r="E311" t="s">
        <v>1948</v>
      </c>
      <c r="F311" t="s">
        <v>1882</v>
      </c>
      <c r="G311" t="s">
        <v>1384</v>
      </c>
      <c r="I311">
        <v>87</v>
      </c>
      <c r="J311" t="s">
        <v>332</v>
      </c>
      <c r="K311" s="1">
        <v>45680</v>
      </c>
      <c r="L311" s="1"/>
      <c r="M311" s="1">
        <v>45644</v>
      </c>
      <c r="O311" s="1" t="s">
        <v>1385</v>
      </c>
      <c r="P311" t="s">
        <v>1386</v>
      </c>
      <c r="Q311" t="s">
        <v>171</v>
      </c>
      <c r="R311" t="s">
        <v>304</v>
      </c>
      <c r="S311" t="s">
        <v>45</v>
      </c>
      <c r="T311" t="s">
        <v>329</v>
      </c>
      <c r="U311" t="s">
        <v>30</v>
      </c>
      <c r="V311" s="1">
        <v>45685</v>
      </c>
      <c r="W311" s="1" t="s">
        <v>46</v>
      </c>
      <c r="X311" t="s">
        <v>32</v>
      </c>
      <c r="Y311" s="1">
        <v>45685</v>
      </c>
      <c r="Z311" s="1" t="s">
        <v>1387</v>
      </c>
      <c r="AA311" t="s">
        <v>613</v>
      </c>
      <c r="AB311" t="s">
        <v>1518</v>
      </c>
      <c r="AC311" t="str">
        <f>INDEX('DB Description'!$A$1:$B$23,MATCH(Tabela2[[#This Row],[Filial DB code]],'DB Description'!A:A,),2)</f>
        <v xml:space="preserve">Vianmaq </v>
      </c>
      <c r="AD311" s="9">
        <f>Tabela2[[#This Row],[Issue2]]-Tabela2[[#This Row],[Failure2]]</f>
        <v>5</v>
      </c>
      <c r="AE311" t="str">
        <f t="shared" ref="AE311:AE315" si="54">"FY"&amp;IF(MONTH(Y311)&gt;=4,YEAR(Y311),YEAR(Y311)-1)</f>
        <v>FY2024</v>
      </c>
      <c r="AF311">
        <f>YEAR(Tabela2[[#This Row],[Issue2]])</f>
        <v>2025</v>
      </c>
    </row>
    <row r="312" spans="1:32" x14ac:dyDescent="0.35">
      <c r="A312" t="s">
        <v>1388</v>
      </c>
      <c r="B312" t="s">
        <v>1389</v>
      </c>
      <c r="C312" t="s">
        <v>348</v>
      </c>
      <c r="D312" t="s">
        <v>651</v>
      </c>
      <c r="E312" t="s">
        <v>1847</v>
      </c>
      <c r="F312" t="s">
        <v>1883</v>
      </c>
      <c r="I312">
        <v>3084</v>
      </c>
      <c r="J312" t="s">
        <v>37</v>
      </c>
      <c r="K312" s="1">
        <v>45685</v>
      </c>
      <c r="L312" s="1"/>
      <c r="M312" s="1">
        <v>44894</v>
      </c>
      <c r="N312" s="1">
        <v>45062</v>
      </c>
      <c r="O312" s="1" t="s">
        <v>244</v>
      </c>
      <c r="P312" t="s">
        <v>244</v>
      </c>
      <c r="Q312" t="s">
        <v>78</v>
      </c>
      <c r="R312" t="s">
        <v>50</v>
      </c>
      <c r="S312" t="s">
        <v>45</v>
      </c>
      <c r="U312" t="s">
        <v>38</v>
      </c>
      <c r="V312" s="1">
        <v>45685</v>
      </c>
      <c r="W312" s="1" t="s">
        <v>53</v>
      </c>
      <c r="X312" t="s">
        <v>32</v>
      </c>
      <c r="Y312" s="1">
        <v>45685</v>
      </c>
      <c r="AA312" t="s">
        <v>528</v>
      </c>
      <c r="AB312" t="s">
        <v>1520</v>
      </c>
      <c r="AC312" t="str">
        <f>INDEX('DB Description'!$A$1:$B$23,MATCH(Tabela2[[#This Row],[Filial DB code]],'DB Description'!A:A,),2)</f>
        <v>Bauko</v>
      </c>
      <c r="AD312" s="9">
        <f>Tabela2[[#This Row],[Issue2]]-Tabela2[[#This Row],[Failure2]]</f>
        <v>0</v>
      </c>
      <c r="AE312" t="str">
        <f t="shared" si="54"/>
        <v>FY2024</v>
      </c>
      <c r="AF312">
        <f>YEAR(Tabela2[[#This Row],[Issue2]])</f>
        <v>2025</v>
      </c>
    </row>
    <row r="313" spans="1:32" x14ac:dyDescent="0.35">
      <c r="A313" t="s">
        <v>1390</v>
      </c>
      <c r="B313" t="s">
        <v>1264</v>
      </c>
      <c r="C313" t="s">
        <v>348</v>
      </c>
      <c r="D313" t="s">
        <v>1023</v>
      </c>
      <c r="E313" t="s">
        <v>1846</v>
      </c>
      <c r="F313" t="s">
        <v>1854</v>
      </c>
      <c r="I313">
        <v>1522</v>
      </c>
      <c r="J313" t="s">
        <v>37</v>
      </c>
      <c r="K313" s="1">
        <v>45679</v>
      </c>
      <c r="L313" s="1">
        <v>45679</v>
      </c>
      <c r="M313" s="1">
        <v>45348</v>
      </c>
      <c r="N313" s="1">
        <v>45383</v>
      </c>
      <c r="O313" s="1" t="s">
        <v>194</v>
      </c>
      <c r="P313" t="s">
        <v>1214</v>
      </c>
      <c r="Q313" t="s">
        <v>116</v>
      </c>
      <c r="R313" t="s">
        <v>43</v>
      </c>
      <c r="S313" t="s">
        <v>45</v>
      </c>
      <c r="U313" t="s">
        <v>38</v>
      </c>
      <c r="V313" s="1">
        <v>45684</v>
      </c>
      <c r="W313" s="1" t="s">
        <v>53</v>
      </c>
      <c r="X313" t="s">
        <v>32</v>
      </c>
      <c r="Y313" s="1">
        <v>45692</v>
      </c>
      <c r="Z313" s="1" t="s">
        <v>1391</v>
      </c>
      <c r="AA313" t="s">
        <v>528</v>
      </c>
      <c r="AB313" t="s">
        <v>1520</v>
      </c>
      <c r="AC313" t="str">
        <f>INDEX('DB Description'!$A$1:$B$23,MATCH(Tabela2[[#This Row],[Filial DB code]],'DB Description'!A:A,),2)</f>
        <v>Bauko</v>
      </c>
      <c r="AD313" s="9">
        <f>Tabela2[[#This Row],[Issue2]]-Tabela2[[#This Row],[Failure2]]</f>
        <v>13</v>
      </c>
      <c r="AE313" t="str">
        <f t="shared" si="54"/>
        <v>FY2024</v>
      </c>
      <c r="AF313">
        <f>YEAR(Tabela2[[#This Row],[Issue2]])</f>
        <v>2025</v>
      </c>
    </row>
    <row r="314" spans="1:32" x14ac:dyDescent="0.35">
      <c r="A314" t="s">
        <v>1392</v>
      </c>
      <c r="B314" t="s">
        <v>1393</v>
      </c>
      <c r="C314" t="s">
        <v>348</v>
      </c>
      <c r="D314" t="s">
        <v>360</v>
      </c>
      <c r="E314" t="s">
        <v>1866</v>
      </c>
      <c r="F314" t="s">
        <v>266</v>
      </c>
      <c r="I314">
        <v>655</v>
      </c>
      <c r="J314" t="s">
        <v>37</v>
      </c>
      <c r="K314" s="1">
        <v>45666</v>
      </c>
      <c r="L314" s="1"/>
      <c r="M314" s="1">
        <v>45376</v>
      </c>
      <c r="N314" s="1">
        <v>45429</v>
      </c>
      <c r="O314" s="1" t="s">
        <v>1307</v>
      </c>
      <c r="P314" t="s">
        <v>266</v>
      </c>
      <c r="Q314" t="s">
        <v>176</v>
      </c>
      <c r="R314" t="s">
        <v>50</v>
      </c>
      <c r="S314" t="s">
        <v>45</v>
      </c>
      <c r="U314" t="s">
        <v>38</v>
      </c>
      <c r="V314" s="1">
        <v>45672</v>
      </c>
      <c r="W314" s="1" t="s">
        <v>53</v>
      </c>
      <c r="X314" t="s">
        <v>32</v>
      </c>
      <c r="Y314" s="1">
        <v>45672</v>
      </c>
      <c r="AA314" t="s">
        <v>1339</v>
      </c>
      <c r="AB314" t="s">
        <v>243</v>
      </c>
      <c r="AC314" t="str">
        <f>INDEX('DB Description'!$A$1:$B$23,MATCH(Tabela2[[#This Row],[Filial DB code]],'DB Description'!A:A,),2)</f>
        <v>Bauko</v>
      </c>
      <c r="AD314" s="9">
        <f>Tabela2[[#This Row],[Issue2]]-Tabela2[[#This Row],[Failure2]]</f>
        <v>6</v>
      </c>
      <c r="AE314" t="str">
        <f t="shared" si="54"/>
        <v>FY2024</v>
      </c>
      <c r="AF314">
        <f>YEAR(Tabela2[[#This Row],[Issue2]])</f>
        <v>2025</v>
      </c>
    </row>
    <row r="315" spans="1:32" x14ac:dyDescent="0.35">
      <c r="A315" t="s">
        <v>1394</v>
      </c>
      <c r="B315" t="s">
        <v>1395</v>
      </c>
      <c r="C315" t="s">
        <v>348</v>
      </c>
      <c r="D315" t="s">
        <v>1396</v>
      </c>
      <c r="E315" t="s">
        <v>1847</v>
      </c>
      <c r="F315" t="s">
        <v>1883</v>
      </c>
      <c r="G315" t="s">
        <v>1397</v>
      </c>
      <c r="I315">
        <v>3348</v>
      </c>
      <c r="J315" t="s">
        <v>37</v>
      </c>
      <c r="K315" s="1">
        <v>45663</v>
      </c>
      <c r="L315" s="1"/>
      <c r="M315" s="1">
        <v>44649</v>
      </c>
      <c r="N315" s="1">
        <v>44665</v>
      </c>
      <c r="O315" s="1" t="s">
        <v>244</v>
      </c>
      <c r="P315" t="s">
        <v>169</v>
      </c>
      <c r="Q315" t="s">
        <v>204</v>
      </c>
      <c r="R315" t="s">
        <v>1398</v>
      </c>
      <c r="S315" t="s">
        <v>45</v>
      </c>
      <c r="U315" t="s">
        <v>38</v>
      </c>
      <c r="V315" s="1">
        <v>45667</v>
      </c>
      <c r="W315" s="1" t="s">
        <v>46</v>
      </c>
      <c r="X315" t="s">
        <v>32</v>
      </c>
      <c r="Y315" s="1">
        <v>45667</v>
      </c>
      <c r="Z315" s="1" t="s">
        <v>1399</v>
      </c>
      <c r="AA315" t="s">
        <v>543</v>
      </c>
      <c r="AB315" t="s">
        <v>1518</v>
      </c>
      <c r="AC315" t="str">
        <f>INDEX('DB Description'!$A$1:$B$23,MATCH(Tabela2[[#This Row],[Filial DB code]],'DB Description'!A:A,),2)</f>
        <v xml:space="preserve">Vianmaq </v>
      </c>
      <c r="AD315" s="9">
        <f>Tabela2[[#This Row],[Issue2]]-Tabela2[[#This Row],[Failure2]]</f>
        <v>4</v>
      </c>
      <c r="AE315" t="str">
        <f t="shared" si="54"/>
        <v>FY2024</v>
      </c>
      <c r="AF315">
        <f>YEAR(Tabela2[[#This Row],[Issue2]])</f>
        <v>2025</v>
      </c>
    </row>
    <row r="316" spans="1:32" x14ac:dyDescent="0.35">
      <c r="A316" t="s">
        <v>1400</v>
      </c>
      <c r="B316" t="s">
        <v>1401</v>
      </c>
      <c r="C316" t="s">
        <v>348</v>
      </c>
      <c r="D316" t="s">
        <v>1383</v>
      </c>
      <c r="E316" t="s">
        <v>1878</v>
      </c>
      <c r="F316" t="s">
        <v>681</v>
      </c>
      <c r="G316" t="s">
        <v>1402</v>
      </c>
      <c r="I316">
        <v>4</v>
      </c>
      <c r="J316" t="s">
        <v>332</v>
      </c>
      <c r="K316" s="1">
        <v>45653</v>
      </c>
      <c r="L316" s="1"/>
      <c r="M316" s="1">
        <v>45644</v>
      </c>
      <c r="O316" s="1" t="s">
        <v>635</v>
      </c>
      <c r="P316" t="s">
        <v>572</v>
      </c>
      <c r="Q316" t="s">
        <v>42</v>
      </c>
      <c r="R316" t="s">
        <v>229</v>
      </c>
      <c r="S316" t="s">
        <v>45</v>
      </c>
      <c r="T316" t="s">
        <v>329</v>
      </c>
      <c r="U316" t="s">
        <v>30</v>
      </c>
      <c r="V316" s="1">
        <v>45659</v>
      </c>
      <c r="W316" s="1" t="s">
        <v>46</v>
      </c>
      <c r="X316" t="s">
        <v>32</v>
      </c>
      <c r="Y316" s="1">
        <v>45659</v>
      </c>
      <c r="Z316" s="1" t="s">
        <v>1403</v>
      </c>
      <c r="AA316" t="s">
        <v>543</v>
      </c>
      <c r="AB316" t="s">
        <v>1518</v>
      </c>
      <c r="AC316" t="str">
        <f>INDEX('DB Description'!$A$1:$B$23,MATCH(Tabela2[[#This Row],[Filial DB code]],'DB Description'!A:A,),2)</f>
        <v xml:space="preserve">Vianmaq </v>
      </c>
      <c r="AD316" s="9">
        <f>Tabela2[[#This Row],[Issue2]]-Tabela2[[#This Row],[Failure2]]</f>
        <v>6</v>
      </c>
      <c r="AE316" t="str">
        <f t="shared" ref="AE316" si="55">"FY"&amp;IF(MONTH(Y316)&gt;=4,YEAR(Y316),YEAR(Y316)-1)</f>
        <v>FY2024</v>
      </c>
      <c r="AF316">
        <f>YEAR(Tabela2[[#This Row],[Issue2]])</f>
        <v>2025</v>
      </c>
    </row>
    <row r="317" spans="1:32" x14ac:dyDescent="0.35">
      <c r="A317" t="s">
        <v>1679</v>
      </c>
      <c r="B317" t="s">
        <v>1680</v>
      </c>
      <c r="C317" t="s">
        <v>348</v>
      </c>
      <c r="D317" t="s">
        <v>135</v>
      </c>
      <c r="E317" t="s">
        <v>1856</v>
      </c>
      <c r="F317" t="s">
        <v>1879</v>
      </c>
      <c r="I317">
        <v>2818</v>
      </c>
      <c r="J317" t="s">
        <v>28</v>
      </c>
      <c r="K317" s="1">
        <v>45895</v>
      </c>
      <c r="L317" s="1"/>
      <c r="M317" s="1">
        <v>45399</v>
      </c>
      <c r="N317" s="1">
        <v>45453</v>
      </c>
      <c r="O317" s="1" t="s">
        <v>1575</v>
      </c>
      <c r="P317" t="s">
        <v>267</v>
      </c>
      <c r="Q317" t="s">
        <v>204</v>
      </c>
      <c r="R317" t="s">
        <v>40</v>
      </c>
      <c r="S317" t="s">
        <v>45</v>
      </c>
      <c r="T317" t="s">
        <v>334</v>
      </c>
      <c r="U317" t="s">
        <v>30</v>
      </c>
      <c r="V317" s="1">
        <v>45905</v>
      </c>
      <c r="W317" s="1" t="s">
        <v>53</v>
      </c>
      <c r="X317" t="s">
        <v>32</v>
      </c>
      <c r="Y317" s="1">
        <v>45905</v>
      </c>
      <c r="AA317" t="s">
        <v>705</v>
      </c>
      <c r="AB317" t="s">
        <v>243</v>
      </c>
      <c r="AC317" t="str">
        <f>INDEX('DB Description'!$A$1:$B$23,MATCH(Tabela2[[#This Row],[Filial DB code]],'DB Description'!A:A,),2)</f>
        <v>Bauko</v>
      </c>
      <c r="AD317" s="9">
        <f>Tabela2[[#This Row],[Issue2]]-Tabela2[[#This Row],[Failure2]]</f>
        <v>10</v>
      </c>
      <c r="AE317" t="str">
        <f t="shared" ref="AE317:AE319" si="56">"FY"&amp;IF(MONTH(Y317)&gt;=4,YEAR(Y317),YEAR(Y317)-1)</f>
        <v>FY2025</v>
      </c>
      <c r="AF317">
        <f>YEAR(Tabela2[[#This Row],[Issue2]])</f>
        <v>2025</v>
      </c>
    </row>
    <row r="318" spans="1:32" x14ac:dyDescent="0.35">
      <c r="A318" t="s">
        <v>1682</v>
      </c>
      <c r="B318" t="s">
        <v>1683</v>
      </c>
      <c r="C318" t="s">
        <v>348</v>
      </c>
      <c r="D318" t="s">
        <v>109</v>
      </c>
      <c r="E318" t="s">
        <v>1853</v>
      </c>
      <c r="F318" t="s">
        <v>1880</v>
      </c>
      <c r="G318" t="s">
        <v>1684</v>
      </c>
      <c r="I318">
        <v>2063</v>
      </c>
      <c r="J318" t="s">
        <v>28</v>
      </c>
      <c r="K318" s="1">
        <v>45888</v>
      </c>
      <c r="L318" s="1">
        <v>45888.041666666701</v>
      </c>
      <c r="M318" s="1">
        <v>44792.041666666701</v>
      </c>
      <c r="N318" s="1">
        <v>44935.041666666701</v>
      </c>
      <c r="O318" s="1" t="s">
        <v>1685</v>
      </c>
      <c r="P318" t="s">
        <v>1686</v>
      </c>
      <c r="Q318" t="s">
        <v>319</v>
      </c>
      <c r="R318" t="s">
        <v>304</v>
      </c>
      <c r="S318" t="s">
        <v>45</v>
      </c>
      <c r="T318" t="s">
        <v>334</v>
      </c>
      <c r="U318" t="s">
        <v>30</v>
      </c>
      <c r="V318" s="1">
        <v>45903</v>
      </c>
      <c r="W318" s="1" t="s">
        <v>250</v>
      </c>
      <c r="X318" t="s">
        <v>32</v>
      </c>
      <c r="Y318" s="1">
        <v>45903</v>
      </c>
      <c r="AA318" t="s">
        <v>1156</v>
      </c>
      <c r="AB318" t="s">
        <v>1516</v>
      </c>
      <c r="AC318" t="str">
        <f>INDEX('DB Description'!$A$1:$B$23,MATCH(Tabela2[[#This Row],[Filial DB code]],'DB Description'!A:A,),2)</f>
        <v>Noroeste</v>
      </c>
      <c r="AD318" s="9">
        <f>Tabela2[[#This Row],[Issue2]]-Tabela2[[#This Row],[Failure2]]</f>
        <v>15</v>
      </c>
      <c r="AE318" t="str">
        <f t="shared" si="56"/>
        <v>FY2025</v>
      </c>
      <c r="AF318">
        <f>YEAR(Tabela2[[#This Row],[Issue2]])</f>
        <v>2025</v>
      </c>
    </row>
    <row r="319" spans="1:32" x14ac:dyDescent="0.35">
      <c r="A319" t="s">
        <v>1687</v>
      </c>
      <c r="B319" t="s">
        <v>1688</v>
      </c>
      <c r="C319" t="s">
        <v>348</v>
      </c>
      <c r="D319" t="s">
        <v>1689</v>
      </c>
      <c r="E319" t="s">
        <v>1877</v>
      </c>
      <c r="F319" t="s">
        <v>1881</v>
      </c>
      <c r="I319">
        <v>190</v>
      </c>
      <c r="J319" t="s">
        <v>28</v>
      </c>
      <c r="K319" s="1">
        <v>45897</v>
      </c>
      <c r="L319" s="1"/>
      <c r="M319" s="1">
        <v>45743</v>
      </c>
      <c r="N319" s="1">
        <v>45834</v>
      </c>
      <c r="O319" s="1" t="s">
        <v>1690</v>
      </c>
      <c r="P319" t="s">
        <v>126</v>
      </c>
      <c r="Q319" t="s">
        <v>60</v>
      </c>
      <c r="R319" t="s">
        <v>148</v>
      </c>
      <c r="S319" t="s">
        <v>45</v>
      </c>
      <c r="T319" t="s">
        <v>334</v>
      </c>
      <c r="U319" t="s">
        <v>30</v>
      </c>
      <c r="V319" s="1">
        <v>45901</v>
      </c>
      <c r="W319" s="1" t="s">
        <v>53</v>
      </c>
      <c r="X319" t="s">
        <v>32</v>
      </c>
      <c r="Y319" s="1">
        <v>45901</v>
      </c>
      <c r="AA319" t="s">
        <v>705</v>
      </c>
      <c r="AB319" t="s">
        <v>243</v>
      </c>
      <c r="AC319" t="str">
        <f>INDEX('DB Description'!$A$1:$B$23,MATCH(Tabela2[[#This Row],[Filial DB code]],'DB Description'!A:A,),2)</f>
        <v>Bauko</v>
      </c>
      <c r="AD319" s="9">
        <f>Tabela2[[#This Row],[Issue2]]-Tabela2[[#This Row],[Failure2]]</f>
        <v>4</v>
      </c>
      <c r="AE319" t="str">
        <f t="shared" si="56"/>
        <v>FY2025</v>
      </c>
      <c r="AF319">
        <f>YEAR(Tabela2[[#This Row],[Issue2]])</f>
        <v>2025</v>
      </c>
    </row>
    <row r="320" spans="1:32" x14ac:dyDescent="0.35">
      <c r="A320" t="s">
        <v>1691</v>
      </c>
      <c r="B320" t="s">
        <v>1692</v>
      </c>
      <c r="C320" t="s">
        <v>348</v>
      </c>
      <c r="D320" t="s">
        <v>150</v>
      </c>
      <c r="E320" t="s">
        <v>1872</v>
      </c>
      <c r="F320" t="s">
        <v>1871</v>
      </c>
      <c r="G320" t="s">
        <v>1693</v>
      </c>
      <c r="I320">
        <v>1479</v>
      </c>
      <c r="J320" t="s">
        <v>28</v>
      </c>
      <c r="K320" s="1">
        <v>45866</v>
      </c>
      <c r="L320" s="1"/>
      <c r="M320" s="1">
        <v>45425</v>
      </c>
      <c r="N320" s="1">
        <v>45439</v>
      </c>
      <c r="O320" s="1" t="s">
        <v>1694</v>
      </c>
      <c r="P320" t="s">
        <v>748</v>
      </c>
      <c r="Q320" t="s">
        <v>98</v>
      </c>
      <c r="R320" t="s">
        <v>1398</v>
      </c>
      <c r="S320" t="s">
        <v>45</v>
      </c>
      <c r="T320" t="s">
        <v>334</v>
      </c>
      <c r="U320" t="s">
        <v>30</v>
      </c>
      <c r="V320" s="1">
        <v>45910</v>
      </c>
      <c r="W320" s="1" t="s">
        <v>46</v>
      </c>
      <c r="X320" t="s">
        <v>32</v>
      </c>
      <c r="Y320" s="1">
        <v>45910</v>
      </c>
      <c r="Z320" s="1" t="s">
        <v>1695</v>
      </c>
      <c r="AB320" t="s">
        <v>1518</v>
      </c>
      <c r="AC320" t="str">
        <f>INDEX('DB Description'!$A$1:$B$23,MATCH(Tabela2[[#This Row],[Filial DB code]],'DB Description'!A:A,),2)</f>
        <v xml:space="preserve">Vianmaq </v>
      </c>
      <c r="AD320" s="9">
        <f>Tabela2[[#This Row],[Issue2]]-Tabela2[[#This Row],[Failure2]]</f>
        <v>44</v>
      </c>
      <c r="AE320" t="str">
        <f t="shared" ref="AE320:AE322" si="57">"FY"&amp;IF(MONTH(Y320)&gt;=4,YEAR(Y320),YEAR(Y320)-1)</f>
        <v>FY2025</v>
      </c>
      <c r="AF320">
        <f>YEAR(Tabela2[[#This Row],[Issue2]])</f>
        <v>2025</v>
      </c>
    </row>
    <row r="321" spans="1:32" x14ac:dyDescent="0.35">
      <c r="A321" t="s">
        <v>1696</v>
      </c>
      <c r="B321" t="s">
        <v>1697</v>
      </c>
      <c r="C321" t="s">
        <v>348</v>
      </c>
      <c r="D321" t="s">
        <v>762</v>
      </c>
      <c r="E321" t="s">
        <v>1850</v>
      </c>
      <c r="F321" t="s">
        <v>1849</v>
      </c>
      <c r="I321">
        <v>6846</v>
      </c>
      <c r="J321" t="s">
        <v>28</v>
      </c>
      <c r="K321" s="1">
        <v>45908</v>
      </c>
      <c r="L321" s="1"/>
      <c r="M321" s="1">
        <v>44760</v>
      </c>
      <c r="N321" s="1">
        <v>44861</v>
      </c>
      <c r="O321" s="1" t="s">
        <v>1213</v>
      </c>
      <c r="P321" t="s">
        <v>157</v>
      </c>
      <c r="Q321" t="s">
        <v>116</v>
      </c>
      <c r="R321" t="s">
        <v>124</v>
      </c>
      <c r="S321" t="s">
        <v>45</v>
      </c>
      <c r="T321" t="s">
        <v>334</v>
      </c>
      <c r="U321" t="s">
        <v>30</v>
      </c>
      <c r="V321" s="1">
        <v>45910</v>
      </c>
      <c r="W321" s="1" t="s">
        <v>53</v>
      </c>
      <c r="X321" t="s">
        <v>32</v>
      </c>
      <c r="Y321" s="1">
        <v>45910</v>
      </c>
      <c r="Z321" s="1" t="s">
        <v>1698</v>
      </c>
      <c r="AA321" t="s">
        <v>1681</v>
      </c>
      <c r="AB321" t="s">
        <v>1520</v>
      </c>
      <c r="AC321" t="str">
        <f>INDEX('DB Description'!$A$1:$B$23,MATCH(Tabela2[[#This Row],[Filial DB code]],'DB Description'!A:A,),2)</f>
        <v>Bauko</v>
      </c>
      <c r="AD321" s="9">
        <f>Tabela2[[#This Row],[Issue2]]-Tabela2[[#This Row],[Failure2]]</f>
        <v>2</v>
      </c>
      <c r="AE321" t="str">
        <f t="shared" si="57"/>
        <v>FY2025</v>
      </c>
      <c r="AF321">
        <f>YEAR(Tabela2[[#This Row],[Issue2]])</f>
        <v>2025</v>
      </c>
    </row>
    <row r="322" spans="1:32" x14ac:dyDescent="0.35">
      <c r="A322" t="s">
        <v>1699</v>
      </c>
      <c r="B322" t="s">
        <v>1700</v>
      </c>
      <c r="C322" t="s">
        <v>348</v>
      </c>
      <c r="D322" t="s">
        <v>311</v>
      </c>
      <c r="E322" t="s">
        <v>1846</v>
      </c>
      <c r="F322" t="s">
        <v>1851</v>
      </c>
      <c r="I322">
        <v>3232</v>
      </c>
      <c r="J322" t="s">
        <v>28</v>
      </c>
      <c r="K322" s="1">
        <v>45906</v>
      </c>
      <c r="L322" s="1"/>
      <c r="M322" s="1">
        <v>45195</v>
      </c>
      <c r="N322" s="1">
        <v>45260</v>
      </c>
      <c r="O322" s="1" t="s">
        <v>1470</v>
      </c>
      <c r="P322" t="s">
        <v>544</v>
      </c>
      <c r="Q322" t="s">
        <v>116</v>
      </c>
      <c r="R322" t="s">
        <v>124</v>
      </c>
      <c r="S322" t="s">
        <v>45</v>
      </c>
      <c r="T322" t="s">
        <v>334</v>
      </c>
      <c r="U322" t="s">
        <v>30</v>
      </c>
      <c r="V322" s="1">
        <v>45909</v>
      </c>
      <c r="W322" s="1" t="s">
        <v>53</v>
      </c>
      <c r="X322" t="s">
        <v>32</v>
      </c>
      <c r="Y322" s="1">
        <v>45909</v>
      </c>
      <c r="Z322" s="1" t="s">
        <v>1701</v>
      </c>
      <c r="AA322" t="s">
        <v>1681</v>
      </c>
      <c r="AB322" t="s">
        <v>1520</v>
      </c>
      <c r="AC322" t="str">
        <f>INDEX('DB Description'!$A$1:$B$23,MATCH(Tabela2[[#This Row],[Filial DB code]],'DB Description'!A:A,),2)</f>
        <v>Bauko</v>
      </c>
      <c r="AD322" s="9">
        <f>Tabela2[[#This Row],[Issue2]]-Tabela2[[#This Row],[Failure2]]</f>
        <v>3</v>
      </c>
      <c r="AE322" t="str">
        <f t="shared" si="57"/>
        <v>FY2025</v>
      </c>
      <c r="AF322">
        <f>YEAR(Tabela2[[#This Row],[Issue2]])</f>
        <v>2025</v>
      </c>
    </row>
    <row r="323" spans="1:32" x14ac:dyDescent="0.35">
      <c r="A323" t="s">
        <v>1703</v>
      </c>
      <c r="B323" t="s">
        <v>1700</v>
      </c>
      <c r="C323" t="s">
        <v>348</v>
      </c>
      <c r="D323" t="s">
        <v>525</v>
      </c>
      <c r="E323" t="s">
        <v>1846</v>
      </c>
      <c r="F323" t="s">
        <v>1848</v>
      </c>
      <c r="I323">
        <v>6033</v>
      </c>
      <c r="J323" t="s">
        <v>28</v>
      </c>
      <c r="K323" s="1">
        <v>45923</v>
      </c>
      <c r="L323" s="1"/>
      <c r="M323" s="1">
        <v>44643</v>
      </c>
      <c r="N323" s="1">
        <v>44662</v>
      </c>
      <c r="O323" s="1" t="s">
        <v>1049</v>
      </c>
      <c r="P323" t="s">
        <v>544</v>
      </c>
      <c r="Q323" t="s">
        <v>116</v>
      </c>
      <c r="R323" t="s">
        <v>124</v>
      </c>
      <c r="S323" t="s">
        <v>45</v>
      </c>
      <c r="T323" t="s">
        <v>334</v>
      </c>
      <c r="U323" t="s">
        <v>30</v>
      </c>
      <c r="V323" s="1">
        <v>45924</v>
      </c>
      <c r="W323" s="1" t="s">
        <v>53</v>
      </c>
      <c r="X323" t="s">
        <v>32</v>
      </c>
      <c r="Y323" s="1">
        <v>45924</v>
      </c>
      <c r="Z323" s="1" t="s">
        <v>1704</v>
      </c>
      <c r="AA323" s="4" t="s">
        <v>1681</v>
      </c>
      <c r="AB323" t="s">
        <v>1520</v>
      </c>
      <c r="AC323" t="str">
        <f>INDEX('DB Description'!$A$1:$B$23,MATCH(Tabela2[[#This Row],[Filial DB code]],'DB Description'!A:A,),2)</f>
        <v>Bauko</v>
      </c>
      <c r="AD323" s="9">
        <f>Tabela2[[#This Row],[Issue2]]-Tabela2[[#This Row],[Failure2]]</f>
        <v>1</v>
      </c>
      <c r="AE323" t="str">
        <f t="shared" ref="AE323:AE331" si="58">"FY"&amp;IF(MONTH(Y323)&gt;=4,YEAR(Y323),YEAR(Y323)-1)</f>
        <v>FY2025</v>
      </c>
      <c r="AF323">
        <f>YEAR(Tabela2[[#This Row],[Issue2]])</f>
        <v>2025</v>
      </c>
    </row>
    <row r="324" spans="1:32" x14ac:dyDescent="0.35">
      <c r="A324" s="4" t="s">
        <v>1705</v>
      </c>
      <c r="B324" t="s">
        <v>1706</v>
      </c>
      <c r="C324" t="s">
        <v>348</v>
      </c>
      <c r="D324" t="s">
        <v>1707</v>
      </c>
      <c r="E324" t="s">
        <v>1877</v>
      </c>
      <c r="F324" t="s">
        <v>1876</v>
      </c>
      <c r="I324">
        <v>4.7</v>
      </c>
      <c r="J324" t="s">
        <v>47</v>
      </c>
      <c r="K324" s="1">
        <v>45922</v>
      </c>
      <c r="L324" s="1"/>
      <c r="M324" s="1">
        <v>45868</v>
      </c>
      <c r="N324" s="1">
        <v>45910</v>
      </c>
      <c r="O324" s="1" t="s">
        <v>867</v>
      </c>
      <c r="P324" t="s">
        <v>240</v>
      </c>
      <c r="Q324" t="s">
        <v>60</v>
      </c>
      <c r="R324" t="s">
        <v>193</v>
      </c>
      <c r="S324" t="s">
        <v>45</v>
      </c>
      <c r="T324" t="s">
        <v>329</v>
      </c>
      <c r="U324" t="s">
        <v>30</v>
      </c>
      <c r="V324" s="1">
        <v>45923</v>
      </c>
      <c r="W324" s="1" t="s">
        <v>53</v>
      </c>
      <c r="X324" t="s">
        <v>32</v>
      </c>
      <c r="Y324" s="1">
        <v>45923</v>
      </c>
      <c r="Z324" s="1" t="s">
        <v>1708</v>
      </c>
      <c r="AA324" t="s">
        <v>1681</v>
      </c>
      <c r="AB324" t="s">
        <v>1520</v>
      </c>
      <c r="AC324" t="str">
        <f>INDEX('DB Description'!$A$1:$B$23,MATCH(Tabela2[[#This Row],[Filial DB code]],'DB Description'!A:A,),2)</f>
        <v>Bauko</v>
      </c>
      <c r="AD324" s="9">
        <f>Tabela2[[#This Row],[Issue2]]-Tabela2[[#This Row],[Failure2]]</f>
        <v>1</v>
      </c>
      <c r="AE324" t="str">
        <f t="shared" si="58"/>
        <v>FY2025</v>
      </c>
      <c r="AF324">
        <f>YEAR(Tabela2[[#This Row],[Issue2]])</f>
        <v>2025</v>
      </c>
    </row>
    <row r="325" spans="1:32" x14ac:dyDescent="0.35">
      <c r="A325" s="4" t="s">
        <v>1709</v>
      </c>
      <c r="B325" t="s">
        <v>1706</v>
      </c>
      <c r="C325" t="s">
        <v>348</v>
      </c>
      <c r="D325" t="s">
        <v>1710</v>
      </c>
      <c r="E325" t="s">
        <v>1877</v>
      </c>
      <c r="F325" t="s">
        <v>1876</v>
      </c>
      <c r="I325">
        <v>5</v>
      </c>
      <c r="J325" t="s">
        <v>47</v>
      </c>
      <c r="K325" s="1">
        <v>45922</v>
      </c>
      <c r="L325" s="1"/>
      <c r="M325" s="1">
        <v>45868</v>
      </c>
      <c r="N325" s="1">
        <v>45910</v>
      </c>
      <c r="O325" s="1" t="s">
        <v>867</v>
      </c>
      <c r="P325" t="s">
        <v>240</v>
      </c>
      <c r="Q325" t="s">
        <v>60</v>
      </c>
      <c r="R325" t="s">
        <v>193</v>
      </c>
      <c r="S325" t="s">
        <v>45</v>
      </c>
      <c r="T325" t="s">
        <v>329</v>
      </c>
      <c r="U325" t="s">
        <v>30</v>
      </c>
      <c r="V325" s="1">
        <v>45923</v>
      </c>
      <c r="W325" s="1" t="s">
        <v>53</v>
      </c>
      <c r="X325" t="s">
        <v>32</v>
      </c>
      <c r="Y325" s="1">
        <v>45923</v>
      </c>
      <c r="Z325" s="1" t="s">
        <v>1711</v>
      </c>
      <c r="AA325" t="s">
        <v>1681</v>
      </c>
      <c r="AB325" t="s">
        <v>1520</v>
      </c>
      <c r="AC325" t="str">
        <f>INDEX('DB Description'!$A$1:$B$23,MATCH(Tabela2[[#This Row],[Filial DB code]],'DB Description'!A:A,),2)</f>
        <v>Bauko</v>
      </c>
      <c r="AD325" s="9">
        <f>Tabela2[[#This Row],[Issue2]]-Tabela2[[#This Row],[Failure2]]</f>
        <v>1</v>
      </c>
      <c r="AE325" t="str">
        <f t="shared" si="58"/>
        <v>FY2025</v>
      </c>
      <c r="AF325">
        <f>YEAR(Tabela2[[#This Row],[Issue2]])</f>
        <v>2025</v>
      </c>
    </row>
    <row r="326" spans="1:32" x14ac:dyDescent="0.35">
      <c r="A326" t="s">
        <v>1712</v>
      </c>
      <c r="B326" t="s">
        <v>1697</v>
      </c>
      <c r="C326" t="s">
        <v>348</v>
      </c>
      <c r="D326" t="s">
        <v>906</v>
      </c>
      <c r="E326" t="s">
        <v>1850</v>
      </c>
      <c r="F326" t="s">
        <v>1849</v>
      </c>
      <c r="I326">
        <v>3324</v>
      </c>
      <c r="J326" t="s">
        <v>47</v>
      </c>
      <c r="K326" s="1">
        <v>45922</v>
      </c>
      <c r="L326" s="1"/>
      <c r="M326" s="1">
        <v>45198</v>
      </c>
      <c r="N326" s="1">
        <v>45288</v>
      </c>
      <c r="O326" s="1" t="s">
        <v>1213</v>
      </c>
      <c r="P326" t="s">
        <v>157</v>
      </c>
      <c r="Q326" t="s">
        <v>116</v>
      </c>
      <c r="R326" t="s">
        <v>124</v>
      </c>
      <c r="S326" t="s">
        <v>45</v>
      </c>
      <c r="T326" t="s">
        <v>329</v>
      </c>
      <c r="U326" t="s">
        <v>30</v>
      </c>
      <c r="V326" s="1">
        <v>45923</v>
      </c>
      <c r="W326" s="1" t="s">
        <v>53</v>
      </c>
      <c r="X326" t="s">
        <v>32</v>
      </c>
      <c r="Y326" s="1">
        <v>45923</v>
      </c>
      <c r="Z326" s="1" t="s">
        <v>1713</v>
      </c>
      <c r="AA326" t="s">
        <v>1681</v>
      </c>
      <c r="AB326" t="s">
        <v>1520</v>
      </c>
      <c r="AC326" t="str">
        <f>INDEX('DB Description'!$A$1:$B$23,MATCH(Tabela2[[#This Row],[Filial DB code]],'DB Description'!A:A,),2)</f>
        <v>Bauko</v>
      </c>
      <c r="AD326" s="9">
        <f>Tabela2[[#This Row],[Issue2]]-Tabela2[[#This Row],[Failure2]]</f>
        <v>1</v>
      </c>
      <c r="AE326" t="str">
        <f t="shared" si="58"/>
        <v>FY2025</v>
      </c>
      <c r="AF326">
        <f>YEAR(Tabela2[[#This Row],[Issue2]])</f>
        <v>2025</v>
      </c>
    </row>
    <row r="327" spans="1:32" x14ac:dyDescent="0.35">
      <c r="A327" s="4" t="s">
        <v>1714</v>
      </c>
      <c r="B327" t="s">
        <v>1715</v>
      </c>
      <c r="C327" t="s">
        <v>348</v>
      </c>
      <c r="D327" s="4" t="s">
        <v>1716</v>
      </c>
      <c r="E327" t="s">
        <v>1850</v>
      </c>
      <c r="F327" s="4" t="s">
        <v>1875</v>
      </c>
      <c r="I327">
        <v>29</v>
      </c>
      <c r="J327" t="s">
        <v>47</v>
      </c>
      <c r="K327" s="1">
        <v>45904</v>
      </c>
      <c r="L327" s="1"/>
      <c r="M327" s="1">
        <v>45869</v>
      </c>
      <c r="N327" s="1">
        <v>45910</v>
      </c>
      <c r="O327" s="1" t="s">
        <v>462</v>
      </c>
      <c r="P327" t="s">
        <v>1717</v>
      </c>
      <c r="Q327" t="s">
        <v>91</v>
      </c>
      <c r="R327" t="s">
        <v>304</v>
      </c>
      <c r="S327" t="s">
        <v>45</v>
      </c>
      <c r="T327" t="s">
        <v>329</v>
      </c>
      <c r="U327" t="s">
        <v>30</v>
      </c>
      <c r="V327" s="1">
        <v>45922</v>
      </c>
      <c r="W327" s="1" t="s">
        <v>53</v>
      </c>
      <c r="X327" t="s">
        <v>32</v>
      </c>
      <c r="Y327" s="1">
        <v>45922</v>
      </c>
      <c r="AA327" t="s">
        <v>705</v>
      </c>
      <c r="AB327" t="s">
        <v>243</v>
      </c>
      <c r="AC327" t="str">
        <f>INDEX('DB Description'!$A$1:$B$23,MATCH(Tabela2[[#This Row],[Filial DB code]],'DB Description'!A:A,),2)</f>
        <v>Bauko</v>
      </c>
      <c r="AD327" s="9">
        <f>Tabela2[[#This Row],[Issue2]]-Tabela2[[#This Row],[Failure2]]</f>
        <v>18</v>
      </c>
      <c r="AE327" t="str">
        <f t="shared" si="58"/>
        <v>FY2025</v>
      </c>
      <c r="AF327">
        <f>YEAR(Tabela2[[#This Row],[Issue2]])</f>
        <v>2025</v>
      </c>
    </row>
    <row r="328" spans="1:32" x14ac:dyDescent="0.35">
      <c r="A328" s="4" t="s">
        <v>1718</v>
      </c>
      <c r="B328" t="s">
        <v>1604</v>
      </c>
      <c r="C328" t="s">
        <v>348</v>
      </c>
      <c r="D328" t="s">
        <v>1710</v>
      </c>
      <c r="E328" t="s">
        <v>1846</v>
      </c>
      <c r="F328" t="s">
        <v>1848</v>
      </c>
      <c r="I328">
        <v>4</v>
      </c>
      <c r="J328" t="s">
        <v>47</v>
      </c>
      <c r="K328" s="1">
        <v>45910</v>
      </c>
      <c r="L328" s="1"/>
      <c r="M328" s="1">
        <v>45868</v>
      </c>
      <c r="N328" s="1">
        <v>45910</v>
      </c>
      <c r="O328" s="1" t="s">
        <v>1049</v>
      </c>
      <c r="P328" t="s">
        <v>1418</v>
      </c>
      <c r="Q328" t="s">
        <v>116</v>
      </c>
      <c r="R328" t="s">
        <v>124</v>
      </c>
      <c r="S328" t="s">
        <v>45</v>
      </c>
      <c r="T328" t="s">
        <v>329</v>
      </c>
      <c r="U328" t="s">
        <v>30</v>
      </c>
      <c r="V328" s="1">
        <v>45922</v>
      </c>
      <c r="W328" s="1" t="s">
        <v>53</v>
      </c>
      <c r="X328" t="s">
        <v>32</v>
      </c>
      <c r="Y328" s="1">
        <v>45922</v>
      </c>
      <c r="AA328" t="s">
        <v>1339</v>
      </c>
      <c r="AB328" t="s">
        <v>243</v>
      </c>
      <c r="AC328" t="str">
        <f>INDEX('DB Description'!$A$1:$B$23,MATCH(Tabela2[[#This Row],[Filial DB code]],'DB Description'!A:A,),2)</f>
        <v>Bauko</v>
      </c>
      <c r="AD328" s="9">
        <f>Tabela2[[#This Row],[Issue2]]-Tabela2[[#This Row],[Failure2]]</f>
        <v>12</v>
      </c>
      <c r="AE328" t="str">
        <f t="shared" si="58"/>
        <v>FY2025</v>
      </c>
      <c r="AF328">
        <f>YEAR(Tabela2[[#This Row],[Issue2]])</f>
        <v>2025</v>
      </c>
    </row>
    <row r="329" spans="1:32" x14ac:dyDescent="0.35">
      <c r="A329" s="4" t="s">
        <v>1719</v>
      </c>
      <c r="B329" t="s">
        <v>1604</v>
      </c>
      <c r="C329" t="s">
        <v>348</v>
      </c>
      <c r="D329" t="s">
        <v>1707</v>
      </c>
      <c r="E329" t="s">
        <v>1846</v>
      </c>
      <c r="F329" t="s">
        <v>1848</v>
      </c>
      <c r="I329">
        <v>3</v>
      </c>
      <c r="J329" t="s">
        <v>47</v>
      </c>
      <c r="K329" s="1">
        <v>45910</v>
      </c>
      <c r="L329" s="1"/>
      <c r="M329" s="1">
        <v>45868</v>
      </c>
      <c r="N329" s="1">
        <v>45910</v>
      </c>
      <c r="O329" s="1" t="s">
        <v>1049</v>
      </c>
      <c r="P329" t="s">
        <v>1418</v>
      </c>
      <c r="Q329" t="s">
        <v>116</v>
      </c>
      <c r="R329" t="s">
        <v>124</v>
      </c>
      <c r="S329" t="s">
        <v>45</v>
      </c>
      <c r="T329" t="s">
        <v>329</v>
      </c>
      <c r="U329" t="s">
        <v>30</v>
      </c>
      <c r="V329" s="1">
        <v>45922</v>
      </c>
      <c r="W329" s="1" t="s">
        <v>53</v>
      </c>
      <c r="X329" t="s">
        <v>32</v>
      </c>
      <c r="Y329" s="1">
        <v>45922</v>
      </c>
      <c r="AA329" t="s">
        <v>1339</v>
      </c>
      <c r="AB329" t="s">
        <v>243</v>
      </c>
      <c r="AC329" t="str">
        <f>INDEX('DB Description'!$A$1:$B$23,MATCH(Tabela2[[#This Row],[Filial DB code]],'DB Description'!A:A,),2)</f>
        <v>Bauko</v>
      </c>
      <c r="AD329" s="9">
        <f>Tabela2[[#This Row],[Issue2]]-Tabela2[[#This Row],[Failure2]]</f>
        <v>12</v>
      </c>
      <c r="AE329" t="str">
        <f t="shared" si="58"/>
        <v>FY2025</v>
      </c>
      <c r="AF329">
        <f>YEAR(Tabela2[[#This Row],[Issue2]])</f>
        <v>2025</v>
      </c>
    </row>
    <row r="330" spans="1:32" x14ac:dyDescent="0.35">
      <c r="A330" s="4" t="s">
        <v>1720</v>
      </c>
      <c r="B330" t="s">
        <v>1604</v>
      </c>
      <c r="C330" t="s">
        <v>348</v>
      </c>
      <c r="D330" t="s">
        <v>216</v>
      </c>
      <c r="E330" t="s">
        <v>1846</v>
      </c>
      <c r="F330" t="s">
        <v>1848</v>
      </c>
      <c r="I330">
        <v>3</v>
      </c>
      <c r="J330" t="s">
        <v>47</v>
      </c>
      <c r="K330" s="1">
        <v>45910</v>
      </c>
      <c r="L330" s="1"/>
      <c r="M330" s="1">
        <v>45867</v>
      </c>
      <c r="N330" s="1">
        <v>45910</v>
      </c>
      <c r="O330" s="1" t="s">
        <v>1049</v>
      </c>
      <c r="P330" t="s">
        <v>1418</v>
      </c>
      <c r="Q330" t="s">
        <v>116</v>
      </c>
      <c r="R330" t="s">
        <v>124</v>
      </c>
      <c r="S330" t="s">
        <v>45</v>
      </c>
      <c r="T330" t="s">
        <v>329</v>
      </c>
      <c r="U330" t="s">
        <v>30</v>
      </c>
      <c r="V330" s="1">
        <v>45922</v>
      </c>
      <c r="W330" s="1" t="s">
        <v>53</v>
      </c>
      <c r="X330" t="s">
        <v>32</v>
      </c>
      <c r="Y330" s="1">
        <v>45922</v>
      </c>
      <c r="AA330" t="s">
        <v>1339</v>
      </c>
      <c r="AB330" t="s">
        <v>243</v>
      </c>
      <c r="AC330" t="str">
        <f>INDEX('DB Description'!$A$1:$B$23,MATCH(Tabela2[[#This Row],[Filial DB code]],'DB Description'!A:A,),2)</f>
        <v>Bauko</v>
      </c>
      <c r="AD330" s="9">
        <f>Tabela2[[#This Row],[Issue2]]-Tabela2[[#This Row],[Failure2]]</f>
        <v>12</v>
      </c>
      <c r="AE330" t="str">
        <f t="shared" si="58"/>
        <v>FY2025</v>
      </c>
      <c r="AF330">
        <f>YEAR(Tabela2[[#This Row],[Issue2]])</f>
        <v>2025</v>
      </c>
    </row>
    <row r="331" spans="1:32" x14ac:dyDescent="0.35">
      <c r="A331" s="4" t="s">
        <v>1721</v>
      </c>
      <c r="B331" t="s">
        <v>1604</v>
      </c>
      <c r="C331" t="s">
        <v>348</v>
      </c>
      <c r="D331" t="s">
        <v>1298</v>
      </c>
      <c r="E331" t="s">
        <v>1846</v>
      </c>
      <c r="F331" t="s">
        <v>1848</v>
      </c>
      <c r="I331">
        <v>3</v>
      </c>
      <c r="J331" t="s">
        <v>47</v>
      </c>
      <c r="K331" s="1">
        <v>45910</v>
      </c>
      <c r="L331" s="1"/>
      <c r="M331" s="1">
        <v>45897</v>
      </c>
      <c r="N331" s="1">
        <v>45898</v>
      </c>
      <c r="O331" s="1" t="s">
        <v>1049</v>
      </c>
      <c r="P331" t="s">
        <v>1418</v>
      </c>
      <c r="Q331" t="s">
        <v>116</v>
      </c>
      <c r="R331" t="s">
        <v>124</v>
      </c>
      <c r="S331" t="s">
        <v>45</v>
      </c>
      <c r="T331" t="s">
        <v>329</v>
      </c>
      <c r="U331" t="s">
        <v>30</v>
      </c>
      <c r="V331" s="1">
        <v>45922</v>
      </c>
      <c r="W331" s="1" t="s">
        <v>53</v>
      </c>
      <c r="X331" t="s">
        <v>32</v>
      </c>
      <c r="Y331" s="1">
        <v>45922</v>
      </c>
      <c r="AA331" t="s">
        <v>1339</v>
      </c>
      <c r="AB331" t="s">
        <v>243</v>
      </c>
      <c r="AC331" t="str">
        <f>INDEX('DB Description'!$A$1:$B$23,MATCH(Tabela2[[#This Row],[Filial DB code]],'DB Description'!A:A,),2)</f>
        <v>Bauko</v>
      </c>
      <c r="AD331" s="9">
        <f>Tabela2[[#This Row],[Issue2]]-Tabela2[[#This Row],[Failure2]]</f>
        <v>12</v>
      </c>
      <c r="AE331" t="str">
        <f t="shared" si="58"/>
        <v>FY2025</v>
      </c>
      <c r="AF331">
        <f>YEAR(Tabela2[[#This Row],[Issue2]])</f>
        <v>2025</v>
      </c>
    </row>
    <row r="332" spans="1:32" x14ac:dyDescent="0.35">
      <c r="A332" s="4" t="s">
        <v>1722</v>
      </c>
      <c r="B332" t="s">
        <v>1723</v>
      </c>
      <c r="C332" t="s">
        <v>348</v>
      </c>
      <c r="D332" s="4" t="s">
        <v>778</v>
      </c>
      <c r="E332" s="4" t="s">
        <v>1862</v>
      </c>
      <c r="F332" s="4" t="s">
        <v>164</v>
      </c>
      <c r="I332">
        <v>68</v>
      </c>
      <c r="J332" t="s">
        <v>28</v>
      </c>
      <c r="K332" s="1">
        <v>45917</v>
      </c>
      <c r="L332" s="1"/>
      <c r="M332" s="1">
        <v>45747</v>
      </c>
      <c r="N332" s="1">
        <v>45771</v>
      </c>
      <c r="O332" s="1" t="s">
        <v>1724</v>
      </c>
      <c r="P332" t="s">
        <v>233</v>
      </c>
      <c r="Q332" t="s">
        <v>278</v>
      </c>
      <c r="R332" t="s">
        <v>227</v>
      </c>
      <c r="S332" t="s">
        <v>45</v>
      </c>
      <c r="T332" t="s">
        <v>334</v>
      </c>
      <c r="U332" t="s">
        <v>30</v>
      </c>
      <c r="V332" s="1">
        <v>45926</v>
      </c>
      <c r="W332" s="1" t="s">
        <v>53</v>
      </c>
      <c r="X332" t="s">
        <v>32</v>
      </c>
      <c r="Y332" s="1">
        <v>45926</v>
      </c>
      <c r="Z332" s="1" t="s">
        <v>1725</v>
      </c>
      <c r="AA332" t="s">
        <v>1681</v>
      </c>
      <c r="AB332" t="s">
        <v>1520</v>
      </c>
      <c r="AC332" t="str">
        <f>INDEX('DB Description'!$A$1:$B$23,MATCH(Tabela2[[#This Row],[Filial DB code]],'DB Description'!A:A,),2)</f>
        <v>Bauko</v>
      </c>
      <c r="AD332" s="9">
        <f>Tabela2[[#This Row],[Issue2]]-Tabela2[[#This Row],[Failure2]]</f>
        <v>9</v>
      </c>
      <c r="AE332" t="str">
        <f t="shared" ref="AE332" si="59">"FY"&amp;IF(MONTH(Y332)&gt;=4,YEAR(Y332),YEAR(Y332)-1)</f>
        <v>FY2025</v>
      </c>
      <c r="AF332">
        <f>YEAR(Tabela2[[#This Row],[Issue2]])</f>
        <v>2025</v>
      </c>
    </row>
    <row r="333" spans="1:32" x14ac:dyDescent="0.35">
      <c r="A333" t="s">
        <v>1726</v>
      </c>
      <c r="B333" t="s">
        <v>1727</v>
      </c>
      <c r="C333" t="s">
        <v>348</v>
      </c>
      <c r="D333" t="s">
        <v>1728</v>
      </c>
      <c r="E333" t="s">
        <v>1864</v>
      </c>
      <c r="F333" t="s">
        <v>1863</v>
      </c>
      <c r="I333">
        <v>255</v>
      </c>
      <c r="J333" t="s">
        <v>28</v>
      </c>
      <c r="K333" s="1">
        <v>45947</v>
      </c>
      <c r="L333" s="1"/>
      <c r="M333" s="1">
        <v>45800</v>
      </c>
      <c r="O333" s="1" t="s">
        <v>1729</v>
      </c>
      <c r="P333" t="s">
        <v>253</v>
      </c>
      <c r="Q333" t="s">
        <v>207</v>
      </c>
      <c r="R333" t="s">
        <v>40</v>
      </c>
      <c r="S333" t="s">
        <v>45</v>
      </c>
      <c r="T333" t="s">
        <v>334</v>
      </c>
      <c r="U333" t="s">
        <v>30</v>
      </c>
      <c r="V333" s="1">
        <v>45950</v>
      </c>
      <c r="W333" s="1" t="s">
        <v>64</v>
      </c>
      <c r="X333" t="s">
        <v>32</v>
      </c>
      <c r="Y333" s="1">
        <v>45950</v>
      </c>
      <c r="AA333" t="s">
        <v>807</v>
      </c>
      <c r="AB333" t="s">
        <v>1514</v>
      </c>
      <c r="AC333" t="str">
        <f>INDEX('DB Description'!$A$1:$B$23,MATCH(Tabela2[[#This Row],[Filial DB code]],'DB Description'!A:A,),2)</f>
        <v>Mason</v>
      </c>
      <c r="AD333" s="9">
        <f>Tabela2[[#This Row],[Issue2]]-Tabela2[[#This Row],[Failure2]]</f>
        <v>3</v>
      </c>
      <c r="AE333" t="str">
        <f t="shared" ref="AE333:AE346" si="60">"FY"&amp;IF(MONTH(Y333)&gt;=4,YEAR(Y333),YEAR(Y333)-1)</f>
        <v>FY2025</v>
      </c>
      <c r="AF333">
        <f>YEAR(Tabela2[[#This Row],[Issue2]])</f>
        <v>2025</v>
      </c>
    </row>
    <row r="334" spans="1:32" x14ac:dyDescent="0.35">
      <c r="A334" t="s">
        <v>1730</v>
      </c>
      <c r="B334" t="s">
        <v>1731</v>
      </c>
      <c r="C334" t="s">
        <v>348</v>
      </c>
      <c r="D334" t="s">
        <v>1113</v>
      </c>
      <c r="E334" t="s">
        <v>1860</v>
      </c>
      <c r="F334" t="s">
        <v>1859</v>
      </c>
      <c r="I334">
        <v>3530.1</v>
      </c>
      <c r="J334" t="s">
        <v>28</v>
      </c>
      <c r="K334" s="1">
        <v>45946</v>
      </c>
      <c r="L334" s="1"/>
      <c r="M334" s="1">
        <v>45000</v>
      </c>
      <c r="N334" s="1">
        <v>45068</v>
      </c>
      <c r="O334" s="1" t="s">
        <v>1442</v>
      </c>
      <c r="P334" t="s">
        <v>1732</v>
      </c>
      <c r="Q334" t="s">
        <v>132</v>
      </c>
      <c r="R334" t="s">
        <v>43</v>
      </c>
      <c r="S334" t="s">
        <v>45</v>
      </c>
      <c r="T334" t="s">
        <v>334</v>
      </c>
      <c r="U334" t="s">
        <v>30</v>
      </c>
      <c r="V334" s="1">
        <v>45950</v>
      </c>
      <c r="W334" s="1" t="s">
        <v>53</v>
      </c>
      <c r="X334" t="s">
        <v>32</v>
      </c>
      <c r="Y334" s="1">
        <v>45950</v>
      </c>
      <c r="Z334" s="1" t="s">
        <v>1733</v>
      </c>
      <c r="AA334" t="s">
        <v>1681</v>
      </c>
      <c r="AB334" t="s">
        <v>1520</v>
      </c>
      <c r="AC334" t="str">
        <f>INDEX('DB Description'!$A$1:$B$23,MATCH(Tabela2[[#This Row],[Filial DB code]],'DB Description'!A:A,),2)</f>
        <v>Bauko</v>
      </c>
      <c r="AD334" s="9">
        <f>Tabela2[[#This Row],[Issue2]]-Tabela2[[#This Row],[Failure2]]</f>
        <v>4</v>
      </c>
      <c r="AE334" t="str">
        <f t="shared" si="60"/>
        <v>FY2025</v>
      </c>
      <c r="AF334">
        <f>YEAR(Tabela2[[#This Row],[Issue2]])</f>
        <v>2025</v>
      </c>
    </row>
    <row r="335" spans="1:32" x14ac:dyDescent="0.35">
      <c r="A335" t="s">
        <v>1734</v>
      </c>
      <c r="B335" t="s">
        <v>1735</v>
      </c>
      <c r="C335" t="s">
        <v>348</v>
      </c>
      <c r="D335" t="s">
        <v>1736</v>
      </c>
      <c r="E335" t="s">
        <v>1860</v>
      </c>
      <c r="F335" t="s">
        <v>1859</v>
      </c>
      <c r="I335">
        <v>2559.1999999999998</v>
      </c>
      <c r="J335" t="s">
        <v>28</v>
      </c>
      <c r="K335" s="1">
        <v>45946</v>
      </c>
      <c r="L335" s="1"/>
      <c r="M335" s="1">
        <v>45351</v>
      </c>
      <c r="N335" s="1">
        <v>45370</v>
      </c>
      <c r="O335" s="1" t="s">
        <v>1442</v>
      </c>
      <c r="P335" t="s">
        <v>1732</v>
      </c>
      <c r="Q335" t="s">
        <v>132</v>
      </c>
      <c r="R335" t="s">
        <v>124</v>
      </c>
      <c r="S335" t="s">
        <v>45</v>
      </c>
      <c r="T335" t="s">
        <v>334</v>
      </c>
      <c r="U335" t="s">
        <v>30</v>
      </c>
      <c r="V335" s="1">
        <v>45950</v>
      </c>
      <c r="W335" s="1" t="s">
        <v>53</v>
      </c>
      <c r="X335" t="s">
        <v>32</v>
      </c>
      <c r="Y335" s="1">
        <v>45950</v>
      </c>
      <c r="Z335" s="1" t="s">
        <v>1737</v>
      </c>
      <c r="AA335" t="s">
        <v>1681</v>
      </c>
      <c r="AB335" t="s">
        <v>1520</v>
      </c>
      <c r="AC335" t="str">
        <f>INDEX('DB Description'!$A$1:$B$23,MATCH(Tabela2[[#This Row],[Filial DB code]],'DB Description'!A:A,),2)</f>
        <v>Bauko</v>
      </c>
      <c r="AD335" s="9">
        <f>Tabela2[[#This Row],[Issue2]]-Tabela2[[#This Row],[Failure2]]</f>
        <v>4</v>
      </c>
      <c r="AE335" t="str">
        <f t="shared" si="60"/>
        <v>FY2025</v>
      </c>
      <c r="AF335">
        <f>YEAR(Tabela2[[#This Row],[Issue2]])</f>
        <v>2025</v>
      </c>
    </row>
    <row r="336" spans="1:32" x14ac:dyDescent="0.35">
      <c r="A336" t="s">
        <v>1738</v>
      </c>
      <c r="B336" t="s">
        <v>1700</v>
      </c>
      <c r="C336" t="s">
        <v>348</v>
      </c>
      <c r="D336" t="s">
        <v>902</v>
      </c>
      <c r="E336" t="s">
        <v>1846</v>
      </c>
      <c r="F336" t="s">
        <v>1851</v>
      </c>
      <c r="I336">
        <v>3506</v>
      </c>
      <c r="J336" t="s">
        <v>28</v>
      </c>
      <c r="K336" s="1">
        <v>45943</v>
      </c>
      <c r="L336" s="1"/>
      <c r="M336" s="1">
        <v>45215</v>
      </c>
      <c r="N336" s="1">
        <v>45306</v>
      </c>
      <c r="O336" s="1" t="s">
        <v>1049</v>
      </c>
      <c r="P336" t="s">
        <v>544</v>
      </c>
      <c r="Q336" t="s">
        <v>116</v>
      </c>
      <c r="R336" t="s">
        <v>124</v>
      </c>
      <c r="S336" t="s">
        <v>45</v>
      </c>
      <c r="T336" t="s">
        <v>334</v>
      </c>
      <c r="U336" t="s">
        <v>30</v>
      </c>
      <c r="V336" s="1">
        <v>45943</v>
      </c>
      <c r="W336" s="1" t="s">
        <v>53</v>
      </c>
      <c r="X336" t="s">
        <v>32</v>
      </c>
      <c r="Y336" s="1">
        <v>45947</v>
      </c>
      <c r="Z336" s="1" t="s">
        <v>1739</v>
      </c>
      <c r="AA336" t="s">
        <v>1681</v>
      </c>
      <c r="AB336" t="s">
        <v>1520</v>
      </c>
      <c r="AC336" t="str">
        <f>INDEX('DB Description'!$A$1:$B$23,MATCH(Tabela2[[#This Row],[Filial DB code]],'DB Description'!A:A,),2)</f>
        <v>Bauko</v>
      </c>
      <c r="AD336" s="9">
        <f>Tabela2[[#This Row],[Issue2]]-Tabela2[[#This Row],[Failure2]]</f>
        <v>4</v>
      </c>
      <c r="AE336" t="str">
        <f t="shared" si="60"/>
        <v>FY2025</v>
      </c>
      <c r="AF336">
        <f>YEAR(Tabela2[[#This Row],[Issue2]])</f>
        <v>2025</v>
      </c>
    </row>
    <row r="337" spans="1:32" x14ac:dyDescent="0.35">
      <c r="A337" t="s">
        <v>1740</v>
      </c>
      <c r="B337" t="s">
        <v>1741</v>
      </c>
      <c r="C337" t="s">
        <v>348</v>
      </c>
      <c r="D337" t="s">
        <v>117</v>
      </c>
      <c r="E337" t="s">
        <v>1866</v>
      </c>
      <c r="F337" t="s">
        <v>1865</v>
      </c>
      <c r="G337" t="s">
        <v>1359</v>
      </c>
      <c r="I337">
        <v>1244</v>
      </c>
      <c r="J337" t="s">
        <v>28</v>
      </c>
      <c r="K337" s="1">
        <v>45917</v>
      </c>
      <c r="L337" s="1">
        <v>45917</v>
      </c>
      <c r="M337" s="1">
        <v>45454</v>
      </c>
      <c r="N337" s="1">
        <v>45505</v>
      </c>
      <c r="O337" s="1" t="s">
        <v>1742</v>
      </c>
      <c r="P337" t="s">
        <v>103</v>
      </c>
      <c r="Q337" t="s">
        <v>125</v>
      </c>
      <c r="R337" t="s">
        <v>40</v>
      </c>
      <c r="S337" t="s">
        <v>45</v>
      </c>
      <c r="T337" t="s">
        <v>334</v>
      </c>
      <c r="U337" t="s">
        <v>30</v>
      </c>
      <c r="V337" s="1">
        <v>45943</v>
      </c>
      <c r="W337" s="1" t="s">
        <v>61</v>
      </c>
      <c r="X337" t="s">
        <v>32</v>
      </c>
      <c r="Y337" s="1">
        <v>45943</v>
      </c>
      <c r="AA337" t="s">
        <v>1095</v>
      </c>
      <c r="AB337" t="s">
        <v>1631</v>
      </c>
      <c r="AC337" t="str">
        <f>INDEX('DB Description'!$A$1:$B$23,MATCH(Tabela2[[#This Row],[Filial DB code]],'DB Description'!A:A,),2)</f>
        <v>VAMOS (2131F)</v>
      </c>
      <c r="AD337" s="9">
        <f>Tabela2[[#This Row],[Issue2]]-Tabela2[[#This Row],[Failure2]]</f>
        <v>26</v>
      </c>
      <c r="AE337" t="str">
        <f t="shared" si="60"/>
        <v>FY2025</v>
      </c>
      <c r="AF337">
        <f>YEAR(Tabela2[[#This Row],[Issue2]])</f>
        <v>2025</v>
      </c>
    </row>
    <row r="338" spans="1:32" x14ac:dyDescent="0.35">
      <c r="A338" t="s">
        <v>1743</v>
      </c>
      <c r="B338" t="s">
        <v>1744</v>
      </c>
      <c r="C338" t="s">
        <v>1135</v>
      </c>
      <c r="D338" t="s">
        <v>173</v>
      </c>
      <c r="E338" t="s">
        <v>1868</v>
      </c>
      <c r="F338" t="s">
        <v>1867</v>
      </c>
      <c r="I338">
        <v>1271</v>
      </c>
      <c r="J338" t="s">
        <v>28</v>
      </c>
      <c r="K338" s="1">
        <v>45930</v>
      </c>
      <c r="L338" s="1"/>
      <c r="M338" s="1">
        <v>45656</v>
      </c>
      <c r="O338" s="1" t="s">
        <v>1745</v>
      </c>
      <c r="P338" t="s">
        <v>1746</v>
      </c>
      <c r="Q338" t="s">
        <v>204</v>
      </c>
      <c r="R338" t="s">
        <v>50</v>
      </c>
      <c r="S338" t="s">
        <v>45</v>
      </c>
      <c r="T338" t="s">
        <v>334</v>
      </c>
      <c r="U338" t="s">
        <v>30</v>
      </c>
      <c r="V338" s="1">
        <v>45943</v>
      </c>
      <c r="W338" s="1" t="s">
        <v>1702</v>
      </c>
      <c r="X338" t="s">
        <v>32</v>
      </c>
      <c r="Y338" s="1">
        <v>45943</v>
      </c>
      <c r="AA338" t="s">
        <v>1110</v>
      </c>
      <c r="AB338" t="s">
        <v>1517</v>
      </c>
      <c r="AC338" t="str">
        <f>INDEX('DB Description'!$A$1:$B$23,MATCH(Tabela2[[#This Row],[Filial DB code]],'DB Description'!A:A,),2)</f>
        <v>Mason</v>
      </c>
      <c r="AD338" s="9">
        <f>Tabela2[[#This Row],[Issue2]]-Tabela2[[#This Row],[Failure2]]</f>
        <v>13</v>
      </c>
      <c r="AE338" t="str">
        <f t="shared" si="60"/>
        <v>FY2025</v>
      </c>
      <c r="AF338">
        <f>YEAR(Tabela2[[#This Row],[Issue2]])</f>
        <v>2025</v>
      </c>
    </row>
    <row r="339" spans="1:32" x14ac:dyDescent="0.35">
      <c r="A339" t="s">
        <v>1747</v>
      </c>
      <c r="B339" t="s">
        <v>1748</v>
      </c>
      <c r="C339" t="s">
        <v>348</v>
      </c>
      <c r="D339" t="s">
        <v>263</v>
      </c>
      <c r="E339" t="s">
        <v>1873</v>
      </c>
      <c r="F339" t="s">
        <v>1874</v>
      </c>
      <c r="G339" t="s">
        <v>1749</v>
      </c>
      <c r="I339">
        <v>782</v>
      </c>
      <c r="J339" t="s">
        <v>28</v>
      </c>
      <c r="K339" s="1">
        <v>45939</v>
      </c>
      <c r="L339" s="1">
        <v>45939</v>
      </c>
      <c r="M339" s="1">
        <v>45593</v>
      </c>
      <c r="N339" s="1">
        <v>45623</v>
      </c>
      <c r="O339" s="1" t="s">
        <v>195</v>
      </c>
      <c r="P339" t="s">
        <v>1750</v>
      </c>
      <c r="Q339" t="s">
        <v>94</v>
      </c>
      <c r="R339" t="s">
        <v>193</v>
      </c>
      <c r="S339" t="s">
        <v>45</v>
      </c>
      <c r="T339" t="s">
        <v>334</v>
      </c>
      <c r="U339" t="s">
        <v>30</v>
      </c>
      <c r="V339" s="1">
        <v>45940</v>
      </c>
      <c r="W339" s="1" t="s">
        <v>53</v>
      </c>
      <c r="X339" t="s">
        <v>32</v>
      </c>
      <c r="Y339" s="1">
        <v>45940</v>
      </c>
      <c r="AA339" t="s">
        <v>749</v>
      </c>
      <c r="AB339" t="s">
        <v>1512</v>
      </c>
      <c r="AC339" t="str">
        <f>INDEX('DB Description'!$A$1:$B$23,MATCH(Tabela2[[#This Row],[Filial DB code]],'DB Description'!A:A,),2)</f>
        <v>Bauko</v>
      </c>
      <c r="AD339" s="9">
        <f>Tabela2[[#This Row],[Issue2]]-Tabela2[[#This Row],[Failure2]]</f>
        <v>1</v>
      </c>
      <c r="AE339" t="str">
        <f t="shared" si="60"/>
        <v>FY2025</v>
      </c>
      <c r="AF339">
        <f>YEAR(Tabela2[[#This Row],[Issue2]])</f>
        <v>2025</v>
      </c>
    </row>
    <row r="340" spans="1:32" x14ac:dyDescent="0.35">
      <c r="A340" t="s">
        <v>1751</v>
      </c>
      <c r="B340" t="s">
        <v>1752</v>
      </c>
      <c r="C340" t="s">
        <v>348</v>
      </c>
      <c r="D340" t="s">
        <v>596</v>
      </c>
      <c r="E340" t="s">
        <v>1872</v>
      </c>
      <c r="F340" t="s">
        <v>1871</v>
      </c>
      <c r="G340" t="s">
        <v>1693</v>
      </c>
      <c r="I340">
        <v>353</v>
      </c>
      <c r="J340" t="s">
        <v>28</v>
      </c>
      <c r="K340" s="1">
        <v>45929</v>
      </c>
      <c r="L340" s="1"/>
      <c r="M340" s="1">
        <v>45715</v>
      </c>
      <c r="N340" s="1">
        <v>45727</v>
      </c>
      <c r="O340" s="1" t="s">
        <v>783</v>
      </c>
      <c r="P340" t="s">
        <v>748</v>
      </c>
      <c r="Q340" t="s">
        <v>155</v>
      </c>
      <c r="R340" t="s">
        <v>1398</v>
      </c>
      <c r="S340" t="s">
        <v>45</v>
      </c>
      <c r="T340" t="s">
        <v>334</v>
      </c>
      <c r="U340" t="s">
        <v>30</v>
      </c>
      <c r="V340" s="1">
        <v>45939</v>
      </c>
      <c r="W340" s="1" t="s">
        <v>46</v>
      </c>
      <c r="X340" t="s">
        <v>32</v>
      </c>
      <c r="Y340" s="1">
        <v>45939</v>
      </c>
      <c r="Z340" s="1" t="s">
        <v>1753</v>
      </c>
      <c r="AA340" t="s">
        <v>543</v>
      </c>
      <c r="AB340" t="s">
        <v>1518</v>
      </c>
      <c r="AC340" t="str">
        <f>INDEX('DB Description'!$A$1:$B$23,MATCH(Tabela2[[#This Row],[Filial DB code]],'DB Description'!A:A,),2)</f>
        <v xml:space="preserve">Vianmaq </v>
      </c>
      <c r="AD340" s="9">
        <f>Tabela2[[#This Row],[Issue2]]-Tabela2[[#This Row],[Failure2]]</f>
        <v>10</v>
      </c>
      <c r="AE340" t="str">
        <f t="shared" si="60"/>
        <v>FY2025</v>
      </c>
      <c r="AF340">
        <f>YEAR(Tabela2[[#This Row],[Issue2]])</f>
        <v>2025</v>
      </c>
    </row>
    <row r="341" spans="1:32" x14ac:dyDescent="0.35">
      <c r="A341" t="s">
        <v>1754</v>
      </c>
      <c r="B341" t="s">
        <v>1755</v>
      </c>
      <c r="C341" t="s">
        <v>348</v>
      </c>
      <c r="D341" t="s">
        <v>1046</v>
      </c>
      <c r="E341" t="s">
        <v>1846</v>
      </c>
      <c r="F341" t="s">
        <v>1854</v>
      </c>
      <c r="I341">
        <v>3857</v>
      </c>
      <c r="J341" t="s">
        <v>28</v>
      </c>
      <c r="K341" s="1">
        <v>45902</v>
      </c>
      <c r="L341" s="1"/>
      <c r="M341" s="1">
        <v>45120</v>
      </c>
      <c r="N341" s="1">
        <v>45183</v>
      </c>
      <c r="O341" s="1" t="s">
        <v>1756</v>
      </c>
      <c r="P341" t="s">
        <v>544</v>
      </c>
      <c r="Q341" t="s">
        <v>116</v>
      </c>
      <c r="R341" t="s">
        <v>162</v>
      </c>
      <c r="S341" t="s">
        <v>45</v>
      </c>
      <c r="T341" t="s">
        <v>334</v>
      </c>
      <c r="U341" t="s">
        <v>30</v>
      </c>
      <c r="V341" s="1">
        <v>45939</v>
      </c>
      <c r="W341" s="1" t="s">
        <v>53</v>
      </c>
      <c r="X341" t="s">
        <v>32</v>
      </c>
      <c r="Y341" s="1">
        <v>45939</v>
      </c>
      <c r="Z341" s="1" t="s">
        <v>1757</v>
      </c>
      <c r="AA341" t="s">
        <v>1681</v>
      </c>
      <c r="AB341" t="s">
        <v>1520</v>
      </c>
      <c r="AC341" t="str">
        <f>INDEX('DB Description'!$A$1:$B$23,MATCH(Tabela2[[#This Row],[Filial DB code]],'DB Description'!A:A,),2)</f>
        <v>Bauko</v>
      </c>
      <c r="AD341" s="9">
        <f>Tabela2[[#This Row],[Issue2]]-Tabela2[[#This Row],[Failure2]]</f>
        <v>37</v>
      </c>
      <c r="AE341" t="str">
        <f t="shared" si="60"/>
        <v>FY2025</v>
      </c>
      <c r="AF341">
        <f>YEAR(Tabela2[[#This Row],[Issue2]])</f>
        <v>2025</v>
      </c>
    </row>
    <row r="342" spans="1:32" x14ac:dyDescent="0.35">
      <c r="A342" t="s">
        <v>1758</v>
      </c>
      <c r="B342" t="s">
        <v>1700</v>
      </c>
      <c r="C342" t="s">
        <v>348</v>
      </c>
      <c r="D342" t="s">
        <v>1046</v>
      </c>
      <c r="E342" t="s">
        <v>1846</v>
      </c>
      <c r="F342" t="s">
        <v>1851</v>
      </c>
      <c r="I342">
        <v>3857</v>
      </c>
      <c r="J342" t="s">
        <v>28</v>
      </c>
      <c r="K342" s="1">
        <v>45932</v>
      </c>
      <c r="L342" s="1"/>
      <c r="M342" s="1">
        <v>45120</v>
      </c>
      <c r="N342" s="1">
        <v>45183</v>
      </c>
      <c r="O342" s="1" t="s">
        <v>1049</v>
      </c>
      <c r="P342" t="s">
        <v>544</v>
      </c>
      <c r="Q342" t="s">
        <v>116</v>
      </c>
      <c r="R342" t="s">
        <v>124</v>
      </c>
      <c r="S342" t="s">
        <v>45</v>
      </c>
      <c r="T342" t="s">
        <v>334</v>
      </c>
      <c r="U342" t="s">
        <v>30</v>
      </c>
      <c r="V342" s="1">
        <v>45939</v>
      </c>
      <c r="W342" s="1" t="s">
        <v>53</v>
      </c>
      <c r="X342" t="s">
        <v>32</v>
      </c>
      <c r="Y342" s="1">
        <v>45939</v>
      </c>
      <c r="Z342" s="1" t="s">
        <v>1757</v>
      </c>
      <c r="AA342" t="s">
        <v>1681</v>
      </c>
      <c r="AB342" t="s">
        <v>1520</v>
      </c>
      <c r="AC342" t="str">
        <f>INDEX('DB Description'!$A$1:$B$23,MATCH(Tabela2[[#This Row],[Filial DB code]],'DB Description'!A:A,),2)</f>
        <v>Bauko</v>
      </c>
      <c r="AD342" s="9">
        <f>Tabela2[[#This Row],[Issue2]]-Tabela2[[#This Row],[Failure2]]</f>
        <v>7</v>
      </c>
      <c r="AE342" t="str">
        <f t="shared" si="60"/>
        <v>FY2025</v>
      </c>
      <c r="AF342">
        <f>YEAR(Tabela2[[#This Row],[Issue2]])</f>
        <v>2025</v>
      </c>
    </row>
    <row r="343" spans="1:32" x14ac:dyDescent="0.35">
      <c r="A343" t="s">
        <v>1759</v>
      </c>
      <c r="B343" t="s">
        <v>1755</v>
      </c>
      <c r="C343" t="s">
        <v>348</v>
      </c>
      <c r="D343" t="s">
        <v>316</v>
      </c>
      <c r="E343" t="s">
        <v>1846</v>
      </c>
      <c r="F343" t="s">
        <v>1854</v>
      </c>
      <c r="I343">
        <v>3989</v>
      </c>
      <c r="J343" t="s">
        <v>28</v>
      </c>
      <c r="K343" s="1">
        <v>45853</v>
      </c>
      <c r="L343" s="1"/>
      <c r="M343" s="1">
        <v>45198</v>
      </c>
      <c r="N343" s="1">
        <v>45241</v>
      </c>
      <c r="O343" s="1" t="s">
        <v>1756</v>
      </c>
      <c r="P343" t="s">
        <v>544</v>
      </c>
      <c r="Q343" t="s">
        <v>116</v>
      </c>
      <c r="R343" t="s">
        <v>162</v>
      </c>
      <c r="S343" t="s">
        <v>45</v>
      </c>
      <c r="T343" t="s">
        <v>334</v>
      </c>
      <c r="U343" t="s">
        <v>30</v>
      </c>
      <c r="V343" s="1">
        <v>45938</v>
      </c>
      <c r="W343" s="1" t="s">
        <v>53</v>
      </c>
      <c r="X343" t="s">
        <v>32</v>
      </c>
      <c r="Y343" s="1">
        <v>45938</v>
      </c>
      <c r="Z343" s="1" t="s">
        <v>1760</v>
      </c>
      <c r="AA343" t="s">
        <v>1681</v>
      </c>
      <c r="AB343" t="s">
        <v>1520</v>
      </c>
      <c r="AC343" t="str">
        <f>INDEX('DB Description'!$A$1:$B$23,MATCH(Tabela2[[#This Row],[Filial DB code]],'DB Description'!A:A,),2)</f>
        <v>Bauko</v>
      </c>
      <c r="AD343" s="9">
        <f>Tabela2[[#This Row],[Issue2]]-Tabela2[[#This Row],[Failure2]]</f>
        <v>85</v>
      </c>
      <c r="AE343" t="str">
        <f t="shared" si="60"/>
        <v>FY2025</v>
      </c>
      <c r="AF343">
        <f>YEAR(Tabela2[[#This Row],[Issue2]])</f>
        <v>2025</v>
      </c>
    </row>
    <row r="344" spans="1:32" x14ac:dyDescent="0.35">
      <c r="A344" t="s">
        <v>1761</v>
      </c>
      <c r="B344" t="s">
        <v>1755</v>
      </c>
      <c r="C344" t="s">
        <v>348</v>
      </c>
      <c r="D344" t="s">
        <v>1762</v>
      </c>
      <c r="E344" t="s">
        <v>1846</v>
      </c>
      <c r="F344" t="s">
        <v>1854</v>
      </c>
      <c r="I344">
        <v>4214</v>
      </c>
      <c r="J344" t="s">
        <v>28</v>
      </c>
      <c r="K344" s="1">
        <v>45873</v>
      </c>
      <c r="L344" s="1"/>
      <c r="M344" s="1">
        <v>45252</v>
      </c>
      <c r="N344" s="1">
        <v>45330</v>
      </c>
      <c r="O344" s="1" t="s">
        <v>1756</v>
      </c>
      <c r="P344" t="s">
        <v>544</v>
      </c>
      <c r="Q344" t="s">
        <v>116</v>
      </c>
      <c r="R344" t="s">
        <v>162</v>
      </c>
      <c r="S344" t="s">
        <v>45</v>
      </c>
      <c r="T344" t="s">
        <v>334</v>
      </c>
      <c r="U344" t="s">
        <v>30</v>
      </c>
      <c r="V344" s="1">
        <v>45938</v>
      </c>
      <c r="W344" s="1" t="s">
        <v>53</v>
      </c>
      <c r="X344" t="s">
        <v>32</v>
      </c>
      <c r="Y344" s="1">
        <v>45938</v>
      </c>
      <c r="Z344" s="1" t="s">
        <v>1763</v>
      </c>
      <c r="AA344" t="s">
        <v>1681</v>
      </c>
      <c r="AB344" t="s">
        <v>1520</v>
      </c>
      <c r="AC344" t="str">
        <f>INDEX('DB Description'!$A$1:$B$23,MATCH(Tabela2[[#This Row],[Filial DB code]],'DB Description'!A:A,),2)</f>
        <v>Bauko</v>
      </c>
      <c r="AD344" s="9">
        <f>Tabela2[[#This Row],[Issue2]]-Tabela2[[#This Row],[Failure2]]</f>
        <v>65</v>
      </c>
      <c r="AE344" t="str">
        <f t="shared" si="60"/>
        <v>FY2025</v>
      </c>
      <c r="AF344">
        <f>YEAR(Tabela2[[#This Row],[Issue2]])</f>
        <v>2025</v>
      </c>
    </row>
    <row r="345" spans="1:32" x14ac:dyDescent="0.35">
      <c r="A345" t="s">
        <v>1764</v>
      </c>
      <c r="B345" t="s">
        <v>1765</v>
      </c>
      <c r="C345" t="s">
        <v>1135</v>
      </c>
      <c r="D345" t="s">
        <v>1766</v>
      </c>
      <c r="E345" t="s">
        <v>1869</v>
      </c>
      <c r="F345" t="s">
        <v>1861</v>
      </c>
      <c r="G345" t="s">
        <v>1767</v>
      </c>
      <c r="I345">
        <v>1867</v>
      </c>
      <c r="J345" t="s">
        <v>28</v>
      </c>
      <c r="K345" s="1">
        <v>45934</v>
      </c>
      <c r="L345" s="1"/>
      <c r="M345" s="1">
        <v>45457</v>
      </c>
      <c r="N345" s="1">
        <v>45544</v>
      </c>
      <c r="O345" s="1" t="s">
        <v>303</v>
      </c>
      <c r="P345" t="s">
        <v>213</v>
      </c>
      <c r="Q345" t="s">
        <v>204</v>
      </c>
      <c r="R345" t="s">
        <v>40</v>
      </c>
      <c r="S345" t="s">
        <v>45</v>
      </c>
      <c r="T345" t="s">
        <v>334</v>
      </c>
      <c r="U345" t="s">
        <v>30</v>
      </c>
      <c r="V345" s="1">
        <v>45938</v>
      </c>
      <c r="W345" s="1" t="s">
        <v>46</v>
      </c>
      <c r="X345" t="s">
        <v>32</v>
      </c>
      <c r="Y345" s="1">
        <v>45938</v>
      </c>
      <c r="Z345" s="1" t="s">
        <v>1768</v>
      </c>
      <c r="AA345" t="s">
        <v>543</v>
      </c>
      <c r="AB345" t="s">
        <v>1518</v>
      </c>
      <c r="AC345" t="str">
        <f>INDEX('DB Description'!$A$1:$B$23,MATCH(Tabela2[[#This Row],[Filial DB code]],'DB Description'!A:A,),2)</f>
        <v xml:space="preserve">Vianmaq </v>
      </c>
      <c r="AD345" s="9">
        <f>Tabela2[[#This Row],[Issue2]]-Tabela2[[#This Row],[Failure2]]</f>
        <v>4</v>
      </c>
      <c r="AE345" t="str">
        <f t="shared" si="60"/>
        <v>FY2025</v>
      </c>
      <c r="AF345">
        <f>YEAR(Tabela2[[#This Row],[Issue2]])</f>
        <v>2025</v>
      </c>
    </row>
    <row r="346" spans="1:32" x14ac:dyDescent="0.35">
      <c r="A346" t="s">
        <v>1769</v>
      </c>
      <c r="B346" t="s">
        <v>1755</v>
      </c>
      <c r="C346" t="s">
        <v>348</v>
      </c>
      <c r="D346" t="s">
        <v>1770</v>
      </c>
      <c r="E346" t="s">
        <v>1846</v>
      </c>
      <c r="F346" t="s">
        <v>1854</v>
      </c>
      <c r="I346">
        <v>2217</v>
      </c>
      <c r="J346" t="s">
        <v>28</v>
      </c>
      <c r="K346" s="1">
        <v>45902</v>
      </c>
      <c r="L346" s="1"/>
      <c r="M346" s="1">
        <v>45512</v>
      </c>
      <c r="N346" s="1">
        <v>45559</v>
      </c>
      <c r="O346" s="1" t="s">
        <v>1049</v>
      </c>
      <c r="P346" t="s">
        <v>544</v>
      </c>
      <c r="Q346" t="s">
        <v>116</v>
      </c>
      <c r="R346" t="s">
        <v>162</v>
      </c>
      <c r="S346" t="s">
        <v>45</v>
      </c>
      <c r="T346" t="s">
        <v>334</v>
      </c>
      <c r="U346" t="s">
        <v>30</v>
      </c>
      <c r="V346" s="1">
        <v>45937</v>
      </c>
      <c r="W346" s="1" t="s">
        <v>53</v>
      </c>
      <c r="X346" t="s">
        <v>32</v>
      </c>
      <c r="Y346" s="1">
        <v>45937</v>
      </c>
      <c r="Z346" s="1" t="s">
        <v>1771</v>
      </c>
      <c r="AA346" t="s">
        <v>1681</v>
      </c>
      <c r="AB346" t="s">
        <v>1520</v>
      </c>
      <c r="AC346" t="str">
        <f>INDEX('DB Description'!$A$1:$B$23,MATCH(Tabela2[[#This Row],[Filial DB code]],'DB Description'!A:A,),2)</f>
        <v>Bauko</v>
      </c>
      <c r="AD346" s="9">
        <f>Tabela2[[#This Row],[Issue2]]-Tabela2[[#This Row],[Failure2]]</f>
        <v>35</v>
      </c>
      <c r="AE346" t="str">
        <f t="shared" si="60"/>
        <v>FY2025</v>
      </c>
      <c r="AF346">
        <f>YEAR(Tabela2[[#This Row],[Issue2]])</f>
        <v>2025</v>
      </c>
    </row>
    <row r="347" spans="1:32" x14ac:dyDescent="0.35">
      <c r="A347" t="s">
        <v>1773</v>
      </c>
      <c r="B347" t="s">
        <v>1774</v>
      </c>
      <c r="C347" t="s">
        <v>348</v>
      </c>
      <c r="D347" t="s">
        <v>1323</v>
      </c>
      <c r="E347" t="s">
        <v>1850</v>
      </c>
      <c r="F347" t="s">
        <v>1870</v>
      </c>
      <c r="I347">
        <v>2041.9</v>
      </c>
      <c r="J347" t="s">
        <v>28</v>
      </c>
      <c r="K347" s="1">
        <v>45952</v>
      </c>
      <c r="L347" s="1"/>
      <c r="M347" s="1">
        <v>45245</v>
      </c>
      <c r="N347" s="1">
        <v>45527</v>
      </c>
      <c r="O347" s="1" t="s">
        <v>395</v>
      </c>
      <c r="P347" t="s">
        <v>196</v>
      </c>
      <c r="Q347" t="s">
        <v>91</v>
      </c>
      <c r="R347" t="s">
        <v>50</v>
      </c>
      <c r="S347" t="s">
        <v>45</v>
      </c>
      <c r="T347" t="s">
        <v>334</v>
      </c>
      <c r="U347" t="s">
        <v>30</v>
      </c>
      <c r="V347" s="1">
        <v>45957</v>
      </c>
      <c r="W347" s="1" t="s">
        <v>53</v>
      </c>
      <c r="X347" t="s">
        <v>32</v>
      </c>
      <c r="Y347" s="1">
        <v>45957</v>
      </c>
      <c r="Z347" s="1" t="s">
        <v>1775</v>
      </c>
      <c r="AA347" t="s">
        <v>1681</v>
      </c>
      <c r="AB347" t="s">
        <v>1520</v>
      </c>
      <c r="AC347" t="str">
        <f>INDEX('DB Description'!$A$1:$B$23,MATCH(Tabela2[[#This Row],[Filial DB code]],'DB Description'!A:A,),2)</f>
        <v>Bauko</v>
      </c>
      <c r="AD347" s="9">
        <f>Tabela2[[#This Row],[Issue2]]-Tabela2[[#This Row],[Failure2]]</f>
        <v>5</v>
      </c>
      <c r="AE347" t="str">
        <f t="shared" ref="AE347:AE351" si="61">"FY"&amp;IF(MONTH(Y347)&gt;=4,YEAR(Y347),YEAR(Y347)-1)</f>
        <v>FY2025</v>
      </c>
      <c r="AF347">
        <f>YEAR(Tabela2[[#This Row],[Issue2]])</f>
        <v>2025</v>
      </c>
    </row>
    <row r="348" spans="1:32" x14ac:dyDescent="0.35">
      <c r="A348" t="s">
        <v>1776</v>
      </c>
      <c r="B348" t="s">
        <v>1755</v>
      </c>
      <c r="C348" t="s">
        <v>348</v>
      </c>
      <c r="D348" t="s">
        <v>1777</v>
      </c>
      <c r="E348" t="s">
        <v>1846</v>
      </c>
      <c r="F348" t="s">
        <v>1854</v>
      </c>
      <c r="I348">
        <v>2965.5</v>
      </c>
      <c r="J348" t="s">
        <v>28</v>
      </c>
      <c r="K348" s="1">
        <v>45940</v>
      </c>
      <c r="L348" s="1"/>
      <c r="M348" s="1">
        <v>45342</v>
      </c>
      <c r="N348" s="1">
        <v>45384</v>
      </c>
      <c r="O348" s="1" t="s">
        <v>1756</v>
      </c>
      <c r="P348" t="s">
        <v>544</v>
      </c>
      <c r="Q348" t="s">
        <v>116</v>
      </c>
      <c r="R348" t="s">
        <v>162</v>
      </c>
      <c r="S348" t="s">
        <v>45</v>
      </c>
      <c r="T348" t="s">
        <v>334</v>
      </c>
      <c r="U348" t="s">
        <v>30</v>
      </c>
      <c r="V348" s="1">
        <v>45954</v>
      </c>
      <c r="W348" s="1" t="s">
        <v>53</v>
      </c>
      <c r="X348" t="s">
        <v>32</v>
      </c>
      <c r="Y348" s="1">
        <v>45954</v>
      </c>
      <c r="Z348" s="1" t="s">
        <v>1778</v>
      </c>
      <c r="AA348" t="s">
        <v>1681</v>
      </c>
      <c r="AB348" t="s">
        <v>1520</v>
      </c>
      <c r="AC348" t="str">
        <f>INDEX('DB Description'!$A$1:$B$23,MATCH(Tabela2[[#This Row],[Filial DB code]],'DB Description'!A:A,),2)</f>
        <v>Bauko</v>
      </c>
      <c r="AD348" s="9">
        <f>Tabela2[[#This Row],[Issue2]]-Tabela2[[#This Row],[Failure2]]</f>
        <v>14</v>
      </c>
      <c r="AE348" t="str">
        <f t="shared" si="61"/>
        <v>FY2025</v>
      </c>
      <c r="AF348">
        <f>YEAR(Tabela2[[#This Row],[Issue2]])</f>
        <v>2025</v>
      </c>
    </row>
    <row r="349" spans="1:32" x14ac:dyDescent="0.35">
      <c r="A349" t="s">
        <v>1779</v>
      </c>
      <c r="B349" t="s">
        <v>1755</v>
      </c>
      <c r="C349" t="s">
        <v>348</v>
      </c>
      <c r="D349" t="s">
        <v>1780</v>
      </c>
      <c r="E349" t="s">
        <v>1846</v>
      </c>
      <c r="F349" t="s">
        <v>1854</v>
      </c>
      <c r="I349">
        <v>849.7</v>
      </c>
      <c r="J349" t="s">
        <v>28</v>
      </c>
      <c r="K349" s="1">
        <v>45889</v>
      </c>
      <c r="L349" s="1"/>
      <c r="M349" s="1">
        <v>45625</v>
      </c>
      <c r="N349" s="1">
        <v>45693</v>
      </c>
      <c r="O349" s="1" t="s">
        <v>1756</v>
      </c>
      <c r="P349" t="s">
        <v>544</v>
      </c>
      <c r="Q349" t="s">
        <v>116</v>
      </c>
      <c r="R349" t="s">
        <v>162</v>
      </c>
      <c r="S349" t="s">
        <v>45</v>
      </c>
      <c r="T349" t="s">
        <v>334</v>
      </c>
      <c r="U349" t="s">
        <v>30</v>
      </c>
      <c r="V349" s="1">
        <v>45954</v>
      </c>
      <c r="W349" s="1" t="s">
        <v>53</v>
      </c>
      <c r="X349" t="s">
        <v>32</v>
      </c>
      <c r="Y349" s="1">
        <v>45954</v>
      </c>
      <c r="Z349" s="1" t="s">
        <v>1781</v>
      </c>
      <c r="AA349" t="s">
        <v>1681</v>
      </c>
      <c r="AB349" t="s">
        <v>1520</v>
      </c>
      <c r="AC349" t="str">
        <f>INDEX('DB Description'!$A$1:$B$23,MATCH(Tabela2[[#This Row],[Filial DB code]],'DB Description'!A:A,),2)</f>
        <v>Bauko</v>
      </c>
      <c r="AD349" s="9">
        <f>Tabela2[[#This Row],[Issue2]]-Tabela2[[#This Row],[Failure2]]</f>
        <v>65</v>
      </c>
      <c r="AE349" t="str">
        <f t="shared" si="61"/>
        <v>FY2025</v>
      </c>
      <c r="AF349">
        <f>YEAR(Tabela2[[#This Row],[Issue2]])</f>
        <v>2025</v>
      </c>
    </row>
    <row r="350" spans="1:32" x14ac:dyDescent="0.35">
      <c r="A350" t="s">
        <v>1782</v>
      </c>
      <c r="B350" t="s">
        <v>1700</v>
      </c>
      <c r="C350" t="s">
        <v>348</v>
      </c>
      <c r="D350" t="s">
        <v>1783</v>
      </c>
      <c r="E350" t="s">
        <v>1846</v>
      </c>
      <c r="F350" t="s">
        <v>1851</v>
      </c>
      <c r="I350">
        <v>2914.2</v>
      </c>
      <c r="J350" t="s">
        <v>37</v>
      </c>
      <c r="K350" s="1">
        <v>45947</v>
      </c>
      <c r="L350" s="1"/>
      <c r="M350" s="1">
        <v>45350</v>
      </c>
      <c r="N350" s="1">
        <v>45470</v>
      </c>
      <c r="O350" s="1" t="s">
        <v>1049</v>
      </c>
      <c r="P350" t="s">
        <v>544</v>
      </c>
      <c r="Q350" t="s">
        <v>116</v>
      </c>
      <c r="R350" t="s">
        <v>124</v>
      </c>
      <c r="S350" t="s">
        <v>45</v>
      </c>
      <c r="U350" t="s">
        <v>38</v>
      </c>
      <c r="V350" s="1">
        <v>45951</v>
      </c>
      <c r="W350" s="1" t="s">
        <v>53</v>
      </c>
      <c r="X350" t="s">
        <v>32</v>
      </c>
      <c r="Y350" s="1">
        <v>45951</v>
      </c>
      <c r="Z350" s="1" t="s">
        <v>1784</v>
      </c>
      <c r="AA350" t="s">
        <v>1681</v>
      </c>
      <c r="AB350" t="s">
        <v>1520</v>
      </c>
      <c r="AC350" t="str">
        <f>INDEX('DB Description'!$A$1:$B$23,MATCH(Tabela2[[#This Row],[Filial DB code]],'DB Description'!A:A,),2)</f>
        <v>Bauko</v>
      </c>
      <c r="AD350" s="9">
        <f>Tabela2[[#This Row],[Issue2]]-Tabela2[[#This Row],[Failure2]]</f>
        <v>4</v>
      </c>
      <c r="AE350" t="str">
        <f t="shared" si="61"/>
        <v>FY2025</v>
      </c>
      <c r="AF350">
        <f>YEAR(Tabela2[[#This Row],[Issue2]])</f>
        <v>2025</v>
      </c>
    </row>
    <row r="351" spans="1:32" x14ac:dyDescent="0.35">
      <c r="A351" t="s">
        <v>1785</v>
      </c>
      <c r="B351" t="s">
        <v>1786</v>
      </c>
      <c r="C351" t="s">
        <v>348</v>
      </c>
      <c r="D351" t="s">
        <v>753</v>
      </c>
      <c r="E351" t="s">
        <v>1858</v>
      </c>
      <c r="F351" t="s">
        <v>1857</v>
      </c>
      <c r="G351" t="s">
        <v>1787</v>
      </c>
      <c r="I351">
        <v>3986</v>
      </c>
      <c r="J351" t="s">
        <v>28</v>
      </c>
      <c r="K351" s="1">
        <v>45826</v>
      </c>
      <c r="L351" s="1">
        <v>45946</v>
      </c>
      <c r="M351" s="1">
        <v>44848</v>
      </c>
      <c r="N351" s="1">
        <v>45078</v>
      </c>
      <c r="O351" s="1" t="s">
        <v>1788</v>
      </c>
      <c r="P351" t="s">
        <v>1789</v>
      </c>
      <c r="Q351" t="s">
        <v>78</v>
      </c>
      <c r="R351" t="s">
        <v>84</v>
      </c>
      <c r="S351" t="s">
        <v>45</v>
      </c>
      <c r="T351" t="s">
        <v>334</v>
      </c>
      <c r="U351" t="s">
        <v>30</v>
      </c>
      <c r="V351" s="1">
        <v>45951</v>
      </c>
      <c r="W351" s="1" t="s">
        <v>53</v>
      </c>
      <c r="X351" t="s">
        <v>32</v>
      </c>
      <c r="Y351" s="1">
        <v>45951</v>
      </c>
      <c r="AA351" t="s">
        <v>749</v>
      </c>
      <c r="AB351" t="s">
        <v>1512</v>
      </c>
      <c r="AC351" t="str">
        <f>INDEX('DB Description'!$A$1:$B$23,MATCH(Tabela2[[#This Row],[Filial DB code]],'DB Description'!A:A,),2)</f>
        <v>Bauko</v>
      </c>
      <c r="AD351" s="9">
        <f>Tabela2[[#This Row],[Issue2]]-Tabela2[[#This Row],[Failure2]]</f>
        <v>125</v>
      </c>
      <c r="AE351" t="str">
        <f t="shared" si="61"/>
        <v>FY2025</v>
      </c>
      <c r="AF351">
        <f>YEAR(Tabela2[[#This Row],[Issue2]])</f>
        <v>2025</v>
      </c>
    </row>
    <row r="352" spans="1:32" x14ac:dyDescent="0.35">
      <c r="A352" t="s">
        <v>1790</v>
      </c>
      <c r="B352" t="s">
        <v>1791</v>
      </c>
      <c r="C352" t="s">
        <v>348</v>
      </c>
      <c r="D352" t="s">
        <v>92</v>
      </c>
      <c r="E352" t="s">
        <v>1860</v>
      </c>
      <c r="F352" t="s">
        <v>1859</v>
      </c>
      <c r="I352">
        <v>2242.6</v>
      </c>
      <c r="J352" t="s">
        <v>37</v>
      </c>
      <c r="K352" s="1">
        <v>45937</v>
      </c>
      <c r="L352" s="1"/>
      <c r="M352" s="1">
        <v>45376</v>
      </c>
      <c r="N352" s="1">
        <v>45447</v>
      </c>
      <c r="O352" s="1" t="s">
        <v>1442</v>
      </c>
      <c r="P352" t="s">
        <v>1792</v>
      </c>
      <c r="Q352" t="s">
        <v>132</v>
      </c>
      <c r="R352" t="s">
        <v>124</v>
      </c>
      <c r="S352" t="s">
        <v>45</v>
      </c>
      <c r="U352" t="s">
        <v>38</v>
      </c>
      <c r="V352" s="1">
        <v>45950</v>
      </c>
      <c r="W352" s="1" t="s">
        <v>53</v>
      </c>
      <c r="X352" t="s">
        <v>32</v>
      </c>
      <c r="Y352" s="1">
        <v>45951</v>
      </c>
      <c r="Z352" s="1" t="s">
        <v>1793</v>
      </c>
      <c r="AA352" t="s">
        <v>1681</v>
      </c>
      <c r="AB352" t="s">
        <v>1520</v>
      </c>
      <c r="AC352" t="str">
        <f>INDEX('DB Description'!$A$1:$B$23,MATCH(Tabela2[[#This Row],[Filial DB code]],'DB Description'!A:A,),2)</f>
        <v>Bauko</v>
      </c>
      <c r="AD352" s="9">
        <f>Tabela2[[#This Row],[Issue2]]-Tabela2[[#This Row],[Failure2]]</f>
        <v>14</v>
      </c>
      <c r="AE352" t="str">
        <f>"FY"&amp;IF(MONTH(Y352)&gt;=4,YEAR(Y352),YEAR(Y352)-1)</f>
        <v>FY2025</v>
      </c>
      <c r="AF352">
        <f>YEAR(Tabela2[[#This Row],[Issue2]])</f>
        <v>2025</v>
      </c>
    </row>
    <row r="353" spans="1:32" x14ac:dyDescent="0.35">
      <c r="A353" t="s">
        <v>1794</v>
      </c>
      <c r="B353" t="s">
        <v>1795</v>
      </c>
      <c r="C353" t="s">
        <v>348</v>
      </c>
      <c r="D353" t="s">
        <v>56</v>
      </c>
      <c r="E353" t="s">
        <v>1846</v>
      </c>
      <c r="F353" t="s">
        <v>1854</v>
      </c>
      <c r="I353">
        <v>4556.1000000000004</v>
      </c>
      <c r="J353" t="s">
        <v>28</v>
      </c>
      <c r="K353" s="1">
        <v>45945</v>
      </c>
      <c r="L353" s="1"/>
      <c r="M353" s="1">
        <v>45142</v>
      </c>
      <c r="N353" s="1">
        <v>45218</v>
      </c>
      <c r="O353" s="1" t="s">
        <v>1756</v>
      </c>
      <c r="P353" t="s">
        <v>1796</v>
      </c>
      <c r="Q353" t="s">
        <v>116</v>
      </c>
      <c r="R353" t="s">
        <v>162</v>
      </c>
      <c r="S353" t="s">
        <v>45</v>
      </c>
      <c r="T353" t="s">
        <v>334</v>
      </c>
      <c r="U353" t="s">
        <v>30</v>
      </c>
      <c r="V353" s="1">
        <v>45968</v>
      </c>
      <c r="W353" s="1" t="s">
        <v>53</v>
      </c>
      <c r="X353" t="s">
        <v>32</v>
      </c>
      <c r="Y353" s="1">
        <v>45969</v>
      </c>
      <c r="Z353" s="1" t="s">
        <v>1797</v>
      </c>
      <c r="AA353" t="s">
        <v>1681</v>
      </c>
      <c r="AB353" t="s">
        <v>1520</v>
      </c>
      <c r="AC353" t="str">
        <f>INDEX('DB Description'!$A$1:$B$23,MATCH(Tabela2[[#This Row],[Filial DB code]],'DB Description'!A:A,),2)</f>
        <v>Bauko</v>
      </c>
      <c r="AD353" s="9">
        <f>Tabela2[[#This Row],[Issue2]]-Tabela2[[#This Row],[Failure2]]</f>
        <v>24</v>
      </c>
      <c r="AE353" t="str">
        <f t="shared" ref="AE353:AE367" si="62">"FY"&amp;IF(MONTH(Y353)&gt;=4,YEAR(Y353),YEAR(Y353)-1)</f>
        <v>FY2025</v>
      </c>
      <c r="AF353">
        <f>YEAR(Tabela2[[#This Row],[Issue2]])</f>
        <v>2025</v>
      </c>
    </row>
    <row r="354" spans="1:32" x14ac:dyDescent="0.35">
      <c r="A354" t="s">
        <v>1798</v>
      </c>
      <c r="B354" t="s">
        <v>1700</v>
      </c>
      <c r="C354" t="s">
        <v>348</v>
      </c>
      <c r="D354" t="s">
        <v>56</v>
      </c>
      <c r="E354" t="s">
        <v>1846</v>
      </c>
      <c r="F354" t="s">
        <v>1851</v>
      </c>
      <c r="I354">
        <v>4629.1000000000004</v>
      </c>
      <c r="J354" t="s">
        <v>28</v>
      </c>
      <c r="K354" s="1">
        <v>45963</v>
      </c>
      <c r="L354" s="1"/>
      <c r="M354" s="1">
        <v>45142</v>
      </c>
      <c r="N354" s="1">
        <v>45218</v>
      </c>
      <c r="O354" s="1" t="s">
        <v>1049</v>
      </c>
      <c r="P354" t="s">
        <v>544</v>
      </c>
      <c r="Q354" t="s">
        <v>116</v>
      </c>
      <c r="R354" t="s">
        <v>124</v>
      </c>
      <c r="S354" t="s">
        <v>45</v>
      </c>
      <c r="T354" t="s">
        <v>334</v>
      </c>
      <c r="U354" t="s">
        <v>30</v>
      </c>
      <c r="V354" s="1">
        <v>45968</v>
      </c>
      <c r="W354" s="1" t="s">
        <v>53</v>
      </c>
      <c r="X354" t="s">
        <v>32</v>
      </c>
      <c r="Y354" s="1">
        <v>45969</v>
      </c>
      <c r="Z354" s="1" t="s">
        <v>1799</v>
      </c>
      <c r="AA354" t="s">
        <v>1681</v>
      </c>
      <c r="AB354" t="s">
        <v>1520</v>
      </c>
      <c r="AC354" t="str">
        <f>INDEX('DB Description'!$A$1:$B$23,MATCH(Tabela2[[#This Row],[Filial DB code]],'DB Description'!A:A,),2)</f>
        <v>Bauko</v>
      </c>
      <c r="AD354" s="9">
        <f>Tabela2[[#This Row],[Issue2]]-Tabela2[[#This Row],[Failure2]]</f>
        <v>6</v>
      </c>
      <c r="AE354" t="str">
        <f t="shared" si="62"/>
        <v>FY2025</v>
      </c>
      <c r="AF354">
        <f>YEAR(Tabela2[[#This Row],[Issue2]])</f>
        <v>2025</v>
      </c>
    </row>
    <row r="355" spans="1:32" x14ac:dyDescent="0.35">
      <c r="A355" t="s">
        <v>1802</v>
      </c>
      <c r="B355" t="s">
        <v>1803</v>
      </c>
      <c r="C355" t="s">
        <v>348</v>
      </c>
      <c r="D355" t="s">
        <v>1673</v>
      </c>
      <c r="E355" t="s">
        <v>1856</v>
      </c>
      <c r="F355" t="s">
        <v>1855</v>
      </c>
      <c r="I355">
        <v>3</v>
      </c>
      <c r="J355" t="s">
        <v>28</v>
      </c>
      <c r="K355" s="1">
        <v>45967</v>
      </c>
      <c r="L355" s="1"/>
      <c r="M355" s="1">
        <v>45826</v>
      </c>
      <c r="N355" s="1">
        <v>45869</v>
      </c>
      <c r="O355" s="1" t="s">
        <v>1800</v>
      </c>
      <c r="P355" t="s">
        <v>1801</v>
      </c>
      <c r="Q355" t="s">
        <v>122</v>
      </c>
      <c r="R355" t="s">
        <v>229</v>
      </c>
      <c r="S355" t="s">
        <v>45</v>
      </c>
      <c r="T355" t="s">
        <v>334</v>
      </c>
      <c r="U355" t="s">
        <v>30</v>
      </c>
      <c r="V355" s="1">
        <v>45968</v>
      </c>
      <c r="W355" s="1" t="s">
        <v>53</v>
      </c>
      <c r="X355" t="s">
        <v>32</v>
      </c>
      <c r="Y355" s="1">
        <v>45968</v>
      </c>
      <c r="AA355" t="s">
        <v>1339</v>
      </c>
      <c r="AB355" t="s">
        <v>243</v>
      </c>
      <c r="AC355" t="str">
        <f>INDEX('DB Description'!$A$1:$B$23,MATCH(Tabela2[[#This Row],[Filial DB code]],'DB Description'!A:A,),2)</f>
        <v>Bauko</v>
      </c>
      <c r="AD355" s="9">
        <f>Tabela2[[#This Row],[Issue2]]-Tabela2[[#This Row],[Failure2]]</f>
        <v>1</v>
      </c>
      <c r="AE355" t="str">
        <f t="shared" si="62"/>
        <v>FY2025</v>
      </c>
      <c r="AF355">
        <f>YEAR(Tabela2[[#This Row],[Issue2]])</f>
        <v>2025</v>
      </c>
    </row>
    <row r="356" spans="1:32" x14ac:dyDescent="0.35">
      <c r="A356" t="s">
        <v>1804</v>
      </c>
      <c r="B356" t="s">
        <v>1805</v>
      </c>
      <c r="C356" t="s">
        <v>1135</v>
      </c>
      <c r="D356" t="s">
        <v>827</v>
      </c>
      <c r="E356" t="s">
        <v>1856</v>
      </c>
      <c r="F356" t="s">
        <v>1855</v>
      </c>
      <c r="I356">
        <v>3</v>
      </c>
      <c r="J356" t="s">
        <v>28</v>
      </c>
      <c r="K356" s="1">
        <v>45967</v>
      </c>
      <c r="L356" s="1"/>
      <c r="M356" s="1">
        <v>45776</v>
      </c>
      <c r="O356" s="1" t="s">
        <v>1800</v>
      </c>
      <c r="P356" t="s">
        <v>1801</v>
      </c>
      <c r="Q356" t="s">
        <v>122</v>
      </c>
      <c r="R356" t="s">
        <v>229</v>
      </c>
      <c r="S356" t="s">
        <v>45</v>
      </c>
      <c r="T356" t="s">
        <v>334</v>
      </c>
      <c r="U356" t="s">
        <v>30</v>
      </c>
      <c r="V356" s="1">
        <v>45968</v>
      </c>
      <c r="W356" s="1" t="s">
        <v>53</v>
      </c>
      <c r="X356" t="s">
        <v>32</v>
      </c>
      <c r="Y356" s="1">
        <v>45968</v>
      </c>
      <c r="AA356" t="s">
        <v>1339</v>
      </c>
      <c r="AB356" t="s">
        <v>243</v>
      </c>
      <c r="AC356" t="str">
        <f>INDEX('DB Description'!$A$1:$B$23,MATCH(Tabela2[[#This Row],[Filial DB code]],'DB Description'!A:A,),2)</f>
        <v>Bauko</v>
      </c>
      <c r="AD356" s="9">
        <f>Tabela2[[#This Row],[Issue2]]-Tabela2[[#This Row],[Failure2]]</f>
        <v>1</v>
      </c>
      <c r="AE356" t="str">
        <f t="shared" si="62"/>
        <v>FY2025</v>
      </c>
      <c r="AF356">
        <f>YEAR(Tabela2[[#This Row],[Issue2]])</f>
        <v>2025</v>
      </c>
    </row>
    <row r="357" spans="1:32" x14ac:dyDescent="0.35">
      <c r="A357" t="s">
        <v>1806</v>
      </c>
      <c r="B357" t="s">
        <v>1803</v>
      </c>
      <c r="C357" t="s">
        <v>348</v>
      </c>
      <c r="D357" t="s">
        <v>257</v>
      </c>
      <c r="E357" t="s">
        <v>1856</v>
      </c>
      <c r="F357" t="s">
        <v>1855</v>
      </c>
      <c r="I357">
        <v>4</v>
      </c>
      <c r="J357" t="s">
        <v>37</v>
      </c>
      <c r="K357" s="1">
        <v>45967</v>
      </c>
      <c r="L357" s="1"/>
      <c r="M357" s="1">
        <v>45826</v>
      </c>
      <c r="N357" s="1">
        <v>45869</v>
      </c>
      <c r="O357" s="1" t="s">
        <v>1800</v>
      </c>
      <c r="P357" t="s">
        <v>1801</v>
      </c>
      <c r="Q357" t="s">
        <v>122</v>
      </c>
      <c r="R357" t="s">
        <v>229</v>
      </c>
      <c r="S357" t="s">
        <v>45</v>
      </c>
      <c r="U357" t="s">
        <v>38</v>
      </c>
      <c r="V357" s="1">
        <v>45968</v>
      </c>
      <c r="W357" s="1" t="s">
        <v>53</v>
      </c>
      <c r="X357" t="s">
        <v>32</v>
      </c>
      <c r="Y357" s="1">
        <v>45968</v>
      </c>
      <c r="AA357" t="s">
        <v>1339</v>
      </c>
      <c r="AB357" t="s">
        <v>243</v>
      </c>
      <c r="AC357" t="str">
        <f>INDEX('DB Description'!$A$1:$B$23,MATCH(Tabela2[[#This Row],[Filial DB code]],'DB Description'!A:A,),2)</f>
        <v>Bauko</v>
      </c>
      <c r="AD357" s="9">
        <f>Tabela2[[#This Row],[Issue2]]-Tabela2[[#This Row],[Failure2]]</f>
        <v>1</v>
      </c>
      <c r="AE357" t="str">
        <f t="shared" si="62"/>
        <v>FY2025</v>
      </c>
      <c r="AF357">
        <f>YEAR(Tabela2[[#This Row],[Issue2]])</f>
        <v>2025</v>
      </c>
    </row>
    <row r="358" spans="1:32" x14ac:dyDescent="0.35">
      <c r="A358" t="s">
        <v>1807</v>
      </c>
      <c r="B358" t="s">
        <v>1805</v>
      </c>
      <c r="C358" t="s">
        <v>1135</v>
      </c>
      <c r="D358" t="s">
        <v>242</v>
      </c>
      <c r="E358" t="s">
        <v>1856</v>
      </c>
      <c r="F358" t="s">
        <v>1855</v>
      </c>
      <c r="I358">
        <v>5</v>
      </c>
      <c r="J358" t="s">
        <v>37</v>
      </c>
      <c r="K358" s="1">
        <v>45967</v>
      </c>
      <c r="L358" s="1"/>
      <c r="M358" s="1">
        <v>45776</v>
      </c>
      <c r="O358" s="1" t="s">
        <v>1800</v>
      </c>
      <c r="P358" t="s">
        <v>1801</v>
      </c>
      <c r="Q358" t="s">
        <v>122</v>
      </c>
      <c r="R358" t="s">
        <v>229</v>
      </c>
      <c r="S358" t="s">
        <v>45</v>
      </c>
      <c r="U358" t="s">
        <v>38</v>
      </c>
      <c r="V358" s="1">
        <v>45968</v>
      </c>
      <c r="W358" s="1" t="s">
        <v>53</v>
      </c>
      <c r="X358" t="s">
        <v>32</v>
      </c>
      <c r="Y358" s="1">
        <v>45968</v>
      </c>
      <c r="AA358" t="s">
        <v>1339</v>
      </c>
      <c r="AB358" t="s">
        <v>243</v>
      </c>
      <c r="AC358" t="str">
        <f>INDEX('DB Description'!$A$1:$B$23,MATCH(Tabela2[[#This Row],[Filial DB code]],'DB Description'!A:A,),2)</f>
        <v>Bauko</v>
      </c>
      <c r="AD358" s="9">
        <f>Tabela2[[#This Row],[Issue2]]-Tabela2[[#This Row],[Failure2]]</f>
        <v>1</v>
      </c>
      <c r="AE358" t="str">
        <f t="shared" si="62"/>
        <v>FY2025</v>
      </c>
      <c r="AF358">
        <f>YEAR(Tabela2[[#This Row],[Issue2]])</f>
        <v>2025</v>
      </c>
    </row>
    <row r="359" spans="1:32" x14ac:dyDescent="0.35">
      <c r="A359" t="s">
        <v>1808</v>
      </c>
      <c r="B359" t="s">
        <v>1805</v>
      </c>
      <c r="C359" t="s">
        <v>1135</v>
      </c>
      <c r="D359" t="s">
        <v>1655</v>
      </c>
      <c r="E359" t="s">
        <v>1856</v>
      </c>
      <c r="F359" t="s">
        <v>1855</v>
      </c>
      <c r="I359">
        <v>5</v>
      </c>
      <c r="J359" t="s">
        <v>37</v>
      </c>
      <c r="K359" s="1">
        <v>45967</v>
      </c>
      <c r="L359" s="1"/>
      <c r="M359" s="1">
        <v>45652</v>
      </c>
      <c r="O359" s="1" t="s">
        <v>1800</v>
      </c>
      <c r="P359" t="s">
        <v>1801</v>
      </c>
      <c r="Q359" t="s">
        <v>122</v>
      </c>
      <c r="R359" t="s">
        <v>229</v>
      </c>
      <c r="S359" t="s">
        <v>45</v>
      </c>
      <c r="U359" t="s">
        <v>38</v>
      </c>
      <c r="V359" s="1">
        <v>45968</v>
      </c>
      <c r="W359" s="1" t="s">
        <v>53</v>
      </c>
      <c r="X359" t="s">
        <v>32</v>
      </c>
      <c r="Y359" s="1">
        <v>45968</v>
      </c>
      <c r="AA359" t="s">
        <v>1339</v>
      </c>
      <c r="AB359" t="s">
        <v>243</v>
      </c>
      <c r="AC359" t="str">
        <f>INDEX('DB Description'!$A$1:$B$23,MATCH(Tabela2[[#This Row],[Filial DB code]],'DB Description'!A:A,),2)</f>
        <v>Bauko</v>
      </c>
      <c r="AD359" s="9">
        <f>Tabela2[[#This Row],[Issue2]]-Tabela2[[#This Row],[Failure2]]</f>
        <v>1</v>
      </c>
      <c r="AE359" t="str">
        <f t="shared" si="62"/>
        <v>FY2025</v>
      </c>
      <c r="AF359">
        <f>YEAR(Tabela2[[#This Row],[Issue2]])</f>
        <v>2025</v>
      </c>
    </row>
    <row r="360" spans="1:32" x14ac:dyDescent="0.35">
      <c r="A360" t="s">
        <v>1809</v>
      </c>
      <c r="B360" t="s">
        <v>1482</v>
      </c>
      <c r="C360" t="s">
        <v>348</v>
      </c>
      <c r="D360" t="s">
        <v>1810</v>
      </c>
      <c r="E360" t="s">
        <v>1846</v>
      </c>
      <c r="F360" t="s">
        <v>1848</v>
      </c>
      <c r="I360">
        <v>3</v>
      </c>
      <c r="J360" t="s">
        <v>37</v>
      </c>
      <c r="K360" s="1">
        <v>45952</v>
      </c>
      <c r="L360" s="1"/>
      <c r="M360" s="1">
        <v>45884</v>
      </c>
      <c r="N360" s="1">
        <v>45932</v>
      </c>
      <c r="O360" s="1" t="s">
        <v>1049</v>
      </c>
      <c r="P360" t="s">
        <v>1418</v>
      </c>
      <c r="Q360" t="s">
        <v>116</v>
      </c>
      <c r="R360" t="s">
        <v>40</v>
      </c>
      <c r="S360" t="s">
        <v>45</v>
      </c>
      <c r="U360" t="s">
        <v>38</v>
      </c>
      <c r="V360" s="1">
        <v>45966</v>
      </c>
      <c r="W360" s="1" t="s">
        <v>53</v>
      </c>
      <c r="X360" t="s">
        <v>32</v>
      </c>
      <c r="Y360" s="1">
        <v>45966</v>
      </c>
      <c r="AA360" t="s">
        <v>1339</v>
      </c>
      <c r="AB360" t="s">
        <v>243</v>
      </c>
      <c r="AC360" t="str">
        <f>INDEX('DB Description'!$A$1:$B$23,MATCH(Tabela2[[#This Row],[Filial DB code]],'DB Description'!A:A,),2)</f>
        <v>Bauko</v>
      </c>
      <c r="AD360" s="9">
        <f>Tabela2[[#This Row],[Issue2]]-Tabela2[[#This Row],[Failure2]]</f>
        <v>14</v>
      </c>
      <c r="AE360" t="str">
        <f t="shared" si="62"/>
        <v>FY2025</v>
      </c>
      <c r="AF360">
        <f>YEAR(Tabela2[[#This Row],[Issue2]])</f>
        <v>2025</v>
      </c>
    </row>
    <row r="361" spans="1:32" x14ac:dyDescent="0.35">
      <c r="A361" t="s">
        <v>1811</v>
      </c>
      <c r="B361" t="s">
        <v>1482</v>
      </c>
      <c r="C361" t="s">
        <v>348</v>
      </c>
      <c r="D361" t="s">
        <v>239</v>
      </c>
      <c r="E361" t="s">
        <v>1846</v>
      </c>
      <c r="F361" t="s">
        <v>1848</v>
      </c>
      <c r="I361">
        <v>4</v>
      </c>
      <c r="J361" t="s">
        <v>37</v>
      </c>
      <c r="K361" s="1">
        <v>45948</v>
      </c>
      <c r="L361" s="1"/>
      <c r="M361" s="1">
        <v>45884</v>
      </c>
      <c r="N361" s="1">
        <v>45938</v>
      </c>
      <c r="O361" s="1" t="s">
        <v>1049</v>
      </c>
      <c r="P361" t="s">
        <v>1418</v>
      </c>
      <c r="Q361" t="s">
        <v>116</v>
      </c>
      <c r="R361" t="s">
        <v>40</v>
      </c>
      <c r="S361" t="s">
        <v>45</v>
      </c>
      <c r="U361" t="s">
        <v>38</v>
      </c>
      <c r="V361" s="1">
        <v>45966</v>
      </c>
      <c r="W361" s="1" t="s">
        <v>53</v>
      </c>
      <c r="X361" t="s">
        <v>32</v>
      </c>
      <c r="Y361" s="1">
        <v>45966</v>
      </c>
      <c r="AA361" t="s">
        <v>1339</v>
      </c>
      <c r="AB361" t="s">
        <v>243</v>
      </c>
      <c r="AC361" t="str">
        <f>INDEX('DB Description'!$A$1:$B$23,MATCH(Tabela2[[#This Row],[Filial DB code]],'DB Description'!A:A,),2)</f>
        <v>Bauko</v>
      </c>
      <c r="AD361" s="9">
        <f>Tabela2[[#This Row],[Issue2]]-Tabela2[[#This Row],[Failure2]]</f>
        <v>18</v>
      </c>
      <c r="AE361" t="str">
        <f t="shared" si="62"/>
        <v>FY2025</v>
      </c>
      <c r="AF361">
        <f>YEAR(Tabela2[[#This Row],[Issue2]])</f>
        <v>2025</v>
      </c>
    </row>
    <row r="362" spans="1:32" x14ac:dyDescent="0.35">
      <c r="A362" t="s">
        <v>1812</v>
      </c>
      <c r="B362" t="s">
        <v>1813</v>
      </c>
      <c r="C362" t="s">
        <v>1135</v>
      </c>
      <c r="D362" t="s">
        <v>1814</v>
      </c>
      <c r="E362" t="s">
        <v>1846</v>
      </c>
      <c r="F362" t="s">
        <v>1848</v>
      </c>
      <c r="I362">
        <v>4</v>
      </c>
      <c r="J362" t="s">
        <v>37</v>
      </c>
      <c r="K362" s="1">
        <v>45947</v>
      </c>
      <c r="L362" s="1"/>
      <c r="M362" s="1">
        <v>45807</v>
      </c>
      <c r="N362" s="1">
        <v>45932</v>
      </c>
      <c r="O362" s="1" t="s">
        <v>1049</v>
      </c>
      <c r="P362" t="s">
        <v>1418</v>
      </c>
      <c r="Q362" t="s">
        <v>116</v>
      </c>
      <c r="R362" t="s">
        <v>40</v>
      </c>
      <c r="S362" t="s">
        <v>45</v>
      </c>
      <c r="U362" t="s">
        <v>38</v>
      </c>
      <c r="V362" s="1">
        <v>45966</v>
      </c>
      <c r="W362" s="1" t="s">
        <v>53</v>
      </c>
      <c r="X362" t="s">
        <v>32</v>
      </c>
      <c r="Y362" s="1">
        <v>45966</v>
      </c>
      <c r="AA362" t="s">
        <v>1339</v>
      </c>
      <c r="AB362" t="s">
        <v>243</v>
      </c>
      <c r="AC362" t="str">
        <f>INDEX('DB Description'!$A$1:$B$23,MATCH(Tabela2[[#This Row],[Filial DB code]],'DB Description'!A:A,),2)</f>
        <v>Bauko</v>
      </c>
      <c r="AD362" s="9">
        <f>Tabela2[[#This Row],[Issue2]]-Tabela2[[#This Row],[Failure2]]</f>
        <v>19</v>
      </c>
      <c r="AE362" t="str">
        <f t="shared" si="62"/>
        <v>FY2025</v>
      </c>
      <c r="AF362">
        <f>YEAR(Tabela2[[#This Row],[Issue2]])</f>
        <v>2025</v>
      </c>
    </row>
    <row r="363" spans="1:32" x14ac:dyDescent="0.35">
      <c r="A363" t="s">
        <v>1815</v>
      </c>
      <c r="B363" t="s">
        <v>1482</v>
      </c>
      <c r="C363" t="s">
        <v>348</v>
      </c>
      <c r="D363" t="s">
        <v>218</v>
      </c>
      <c r="E363" t="s">
        <v>1846</v>
      </c>
      <c r="F363" t="s">
        <v>1848</v>
      </c>
      <c r="I363">
        <v>4</v>
      </c>
      <c r="J363" t="s">
        <v>37</v>
      </c>
      <c r="K363" s="1">
        <v>45945</v>
      </c>
      <c r="L363" s="1"/>
      <c r="M363" s="1">
        <v>45887</v>
      </c>
      <c r="N363" s="1">
        <v>45932</v>
      </c>
      <c r="O363" s="1" t="s">
        <v>1049</v>
      </c>
      <c r="P363" t="s">
        <v>1418</v>
      </c>
      <c r="Q363" t="s">
        <v>116</v>
      </c>
      <c r="R363" t="s">
        <v>40</v>
      </c>
      <c r="S363" t="s">
        <v>45</v>
      </c>
      <c r="U363" t="s">
        <v>38</v>
      </c>
      <c r="V363" s="1">
        <v>45966</v>
      </c>
      <c r="W363" s="1" t="s">
        <v>53</v>
      </c>
      <c r="X363" t="s">
        <v>32</v>
      </c>
      <c r="Y363" s="1">
        <v>45966</v>
      </c>
      <c r="AA363" t="s">
        <v>1339</v>
      </c>
      <c r="AB363" t="s">
        <v>243</v>
      </c>
      <c r="AC363" t="str">
        <f>INDEX('DB Description'!$A$1:$B$23,MATCH(Tabela2[[#This Row],[Filial DB code]],'DB Description'!A:A,),2)</f>
        <v>Bauko</v>
      </c>
      <c r="AD363" s="9">
        <f>Tabela2[[#This Row],[Issue2]]-Tabela2[[#This Row],[Failure2]]</f>
        <v>21</v>
      </c>
      <c r="AE363" t="str">
        <f t="shared" si="62"/>
        <v>FY2025</v>
      </c>
      <c r="AF363">
        <f>YEAR(Tabela2[[#This Row],[Issue2]])</f>
        <v>2025</v>
      </c>
    </row>
    <row r="364" spans="1:32" x14ac:dyDescent="0.35">
      <c r="A364" t="s">
        <v>1816</v>
      </c>
      <c r="B364" t="s">
        <v>1482</v>
      </c>
      <c r="C364" t="s">
        <v>348</v>
      </c>
      <c r="D364" t="s">
        <v>238</v>
      </c>
      <c r="E364" t="s">
        <v>1846</v>
      </c>
      <c r="F364" t="s">
        <v>1848</v>
      </c>
      <c r="I364">
        <v>4</v>
      </c>
      <c r="J364" t="s">
        <v>37</v>
      </c>
      <c r="K364" s="1">
        <v>45958</v>
      </c>
      <c r="L364" s="1"/>
      <c r="M364" s="1">
        <v>45883</v>
      </c>
      <c r="N364" s="1">
        <v>45932</v>
      </c>
      <c r="O364" s="1" t="s">
        <v>1026</v>
      </c>
      <c r="P364" t="s">
        <v>1418</v>
      </c>
      <c r="Q364" t="s">
        <v>116</v>
      </c>
      <c r="R364" t="s">
        <v>40</v>
      </c>
      <c r="S364" t="s">
        <v>45</v>
      </c>
      <c r="U364" t="s">
        <v>38</v>
      </c>
      <c r="V364" s="1">
        <v>45965</v>
      </c>
      <c r="W364" s="1" t="s">
        <v>53</v>
      </c>
      <c r="X364" t="s">
        <v>32</v>
      </c>
      <c r="Y364" s="1">
        <v>45966</v>
      </c>
      <c r="AA364" t="s">
        <v>1339</v>
      </c>
      <c r="AB364" t="s">
        <v>243</v>
      </c>
      <c r="AC364" t="str">
        <f>INDEX('DB Description'!$A$1:$B$23,MATCH(Tabela2[[#This Row],[Filial DB code]],'DB Description'!A:A,),2)</f>
        <v>Bauko</v>
      </c>
      <c r="AD364" s="9">
        <f>Tabela2[[#This Row],[Issue2]]-Tabela2[[#This Row],[Failure2]]</f>
        <v>8</v>
      </c>
      <c r="AE364" t="str">
        <f t="shared" si="62"/>
        <v>FY2025</v>
      </c>
      <c r="AF364">
        <f>YEAR(Tabela2[[#This Row],[Issue2]])</f>
        <v>2025</v>
      </c>
    </row>
    <row r="365" spans="1:32" x14ac:dyDescent="0.35">
      <c r="A365" t="s">
        <v>1817</v>
      </c>
      <c r="B365" t="s">
        <v>1795</v>
      </c>
      <c r="C365" t="s">
        <v>348</v>
      </c>
      <c r="D365" t="s">
        <v>172</v>
      </c>
      <c r="E365" t="s">
        <v>1846</v>
      </c>
      <c r="F365" t="s">
        <v>1854</v>
      </c>
      <c r="I365">
        <v>1923.4</v>
      </c>
      <c r="J365" t="s">
        <v>47</v>
      </c>
      <c r="K365" s="1">
        <v>45956</v>
      </c>
      <c r="L365" s="1"/>
      <c r="M365" s="1">
        <v>45561</v>
      </c>
      <c r="N365" s="1">
        <v>45603</v>
      </c>
      <c r="O365" s="1" t="s">
        <v>1049</v>
      </c>
      <c r="P365" t="s">
        <v>1796</v>
      </c>
      <c r="Q365" t="s">
        <v>116</v>
      </c>
      <c r="R365" t="s">
        <v>162</v>
      </c>
      <c r="S365" t="s">
        <v>45</v>
      </c>
      <c r="T365" t="s">
        <v>329</v>
      </c>
      <c r="U365" t="s">
        <v>30</v>
      </c>
      <c r="V365" s="1">
        <v>45965</v>
      </c>
      <c r="W365" s="1" t="s">
        <v>53</v>
      </c>
      <c r="X365" t="s">
        <v>32</v>
      </c>
      <c r="Y365" s="1">
        <v>45965</v>
      </c>
      <c r="Z365" s="1" t="s">
        <v>1797</v>
      </c>
      <c r="AA365" t="s">
        <v>1681</v>
      </c>
      <c r="AB365" t="s">
        <v>1520</v>
      </c>
      <c r="AC365" t="str">
        <f>INDEX('DB Description'!$A$1:$B$23,MATCH(Tabela2[[#This Row],[Filial DB code]],'DB Description'!A:A,),2)</f>
        <v>Bauko</v>
      </c>
      <c r="AD365" s="9">
        <f>Tabela2[[#This Row],[Issue2]]-Tabela2[[#This Row],[Failure2]]</f>
        <v>9</v>
      </c>
      <c r="AE365" t="str">
        <f t="shared" si="62"/>
        <v>FY2025</v>
      </c>
      <c r="AF365">
        <f>YEAR(Tabela2[[#This Row],[Issue2]])</f>
        <v>2025</v>
      </c>
    </row>
    <row r="366" spans="1:32" x14ac:dyDescent="0.35">
      <c r="A366" t="s">
        <v>1818</v>
      </c>
      <c r="B366" t="s">
        <v>1795</v>
      </c>
      <c r="C366" t="s">
        <v>348</v>
      </c>
      <c r="D366" t="s">
        <v>166</v>
      </c>
      <c r="E366" t="s">
        <v>1846</v>
      </c>
      <c r="F366" t="s">
        <v>1854</v>
      </c>
      <c r="I366">
        <v>1851.1</v>
      </c>
      <c r="J366" t="s">
        <v>37</v>
      </c>
      <c r="K366" s="1">
        <v>45960</v>
      </c>
      <c r="L366" s="1"/>
      <c r="M366" s="1">
        <v>45433</v>
      </c>
      <c r="N366" s="1">
        <v>45483</v>
      </c>
      <c r="O366" s="1" t="s">
        <v>1049</v>
      </c>
      <c r="P366" t="s">
        <v>1796</v>
      </c>
      <c r="Q366" t="s">
        <v>116</v>
      </c>
      <c r="R366" t="s">
        <v>162</v>
      </c>
      <c r="S366" t="s">
        <v>45</v>
      </c>
      <c r="U366" t="s">
        <v>38</v>
      </c>
      <c r="V366" s="1">
        <v>45965</v>
      </c>
      <c r="W366" s="1" t="s">
        <v>53</v>
      </c>
      <c r="X366" t="s">
        <v>32</v>
      </c>
      <c r="Y366" s="1">
        <v>45965</v>
      </c>
      <c r="Z366" s="1" t="s">
        <v>1819</v>
      </c>
      <c r="AA366" t="s">
        <v>1681</v>
      </c>
      <c r="AB366" t="s">
        <v>1520</v>
      </c>
      <c r="AC366" t="str">
        <f>INDEX('DB Description'!$A$1:$B$23,MATCH(Tabela2[[#This Row],[Filial DB code]],'DB Description'!A:A,),2)</f>
        <v>Bauko</v>
      </c>
      <c r="AD366" s="9">
        <f>Tabela2[[#This Row],[Issue2]]-Tabela2[[#This Row],[Failure2]]</f>
        <v>5</v>
      </c>
      <c r="AE366" t="str">
        <f t="shared" si="62"/>
        <v>FY2025</v>
      </c>
      <c r="AF366">
        <f>YEAR(Tabela2[[#This Row],[Issue2]])</f>
        <v>2025</v>
      </c>
    </row>
    <row r="367" spans="1:32" x14ac:dyDescent="0.35">
      <c r="A367" t="s">
        <v>1820</v>
      </c>
      <c r="B367" t="s">
        <v>1795</v>
      </c>
      <c r="C367" t="s">
        <v>348</v>
      </c>
      <c r="D367" t="s">
        <v>1447</v>
      </c>
      <c r="E367" t="s">
        <v>1846</v>
      </c>
      <c r="F367" t="s">
        <v>1854</v>
      </c>
      <c r="I367">
        <v>2169.9</v>
      </c>
      <c r="J367" t="s">
        <v>47</v>
      </c>
      <c r="K367" s="1">
        <v>45936</v>
      </c>
      <c r="L367" s="1"/>
      <c r="M367" s="1">
        <v>45239</v>
      </c>
      <c r="N367" s="1">
        <v>45517</v>
      </c>
      <c r="O367" s="1" t="s">
        <v>1049</v>
      </c>
      <c r="P367" t="s">
        <v>1796</v>
      </c>
      <c r="Q367" t="s">
        <v>116</v>
      </c>
      <c r="R367" t="s">
        <v>162</v>
      </c>
      <c r="S367" t="s">
        <v>45</v>
      </c>
      <c r="T367" t="s">
        <v>329</v>
      </c>
      <c r="U367" t="s">
        <v>30</v>
      </c>
      <c r="V367" s="1">
        <v>45965</v>
      </c>
      <c r="W367" s="1" t="s">
        <v>53</v>
      </c>
      <c r="X367" t="s">
        <v>32</v>
      </c>
      <c r="Y367" s="1">
        <v>45965</v>
      </c>
      <c r="Z367" s="1" t="s">
        <v>1821</v>
      </c>
      <c r="AA367" t="s">
        <v>1681</v>
      </c>
      <c r="AB367" t="s">
        <v>1520</v>
      </c>
      <c r="AC367" t="str">
        <f>INDEX('DB Description'!$A$1:$B$23,MATCH(Tabela2[[#This Row],[Filial DB code]],'DB Description'!A:A,),2)</f>
        <v>Bauko</v>
      </c>
      <c r="AD367" s="9">
        <f>Tabela2[[#This Row],[Issue2]]-Tabela2[[#This Row],[Failure2]]</f>
        <v>29</v>
      </c>
      <c r="AE367" t="str">
        <f t="shared" si="62"/>
        <v>FY2025</v>
      </c>
      <c r="AF367">
        <f>YEAR(Tabela2[[#This Row],[Issue2]])</f>
        <v>2025</v>
      </c>
    </row>
    <row r="368" spans="1:32" x14ac:dyDescent="0.35">
      <c r="A368" t="s">
        <v>1822</v>
      </c>
      <c r="B368" t="s">
        <v>1604</v>
      </c>
      <c r="C368" t="s">
        <v>348</v>
      </c>
      <c r="D368" t="s">
        <v>1716</v>
      </c>
      <c r="E368" t="s">
        <v>1846</v>
      </c>
      <c r="F368" t="s">
        <v>1848</v>
      </c>
      <c r="I368">
        <v>2</v>
      </c>
      <c r="J368" t="s">
        <v>37</v>
      </c>
      <c r="K368" s="1">
        <v>45910</v>
      </c>
      <c r="L368" s="1"/>
      <c r="M368" s="1">
        <v>45869</v>
      </c>
      <c r="N368" s="1">
        <v>45910</v>
      </c>
      <c r="O368" s="1" t="s">
        <v>1049</v>
      </c>
      <c r="P368" t="s">
        <v>1418</v>
      </c>
      <c r="Q368" t="s">
        <v>116</v>
      </c>
      <c r="R368" t="s">
        <v>124</v>
      </c>
      <c r="S368" t="s">
        <v>45</v>
      </c>
      <c r="U368" t="s">
        <v>38</v>
      </c>
      <c r="V368" s="1">
        <v>45924</v>
      </c>
      <c r="W368" s="1" t="s">
        <v>53</v>
      </c>
      <c r="X368" t="s">
        <v>32</v>
      </c>
      <c r="Y368" s="1">
        <v>45965</v>
      </c>
      <c r="AA368" t="s">
        <v>1339</v>
      </c>
      <c r="AB368" t="s">
        <v>243</v>
      </c>
      <c r="AC368" t="str">
        <f>INDEX('DB Description'!$A$1:$B$23,MATCH(Tabela2[[#This Row],[Filial DB code]],'DB Description'!A:A,),2)</f>
        <v>Bauko</v>
      </c>
      <c r="AD368" s="9">
        <f>Tabela2[[#This Row],[Issue2]]-Tabela2[[#This Row],[Failure2]]</f>
        <v>55</v>
      </c>
      <c r="AE368" t="str">
        <f>"FY"&amp;IF(MONTH(Y368)&gt;=4,YEAR(Y368),YEAR(Y368)-1)</f>
        <v>FY2025</v>
      </c>
      <c r="AF368">
        <f>YEAR(Tabela2[[#This Row],[Issue2]])</f>
        <v>2025</v>
      </c>
    </row>
    <row r="369" spans="1:32" x14ac:dyDescent="0.35">
      <c r="A369" t="s">
        <v>1823</v>
      </c>
      <c r="B369" t="s">
        <v>1824</v>
      </c>
      <c r="C369" t="s">
        <v>1135</v>
      </c>
      <c r="D369" t="s">
        <v>829</v>
      </c>
      <c r="E369" t="s">
        <v>1856</v>
      </c>
      <c r="F369" t="s">
        <v>1855</v>
      </c>
      <c r="I369">
        <v>5.5</v>
      </c>
      <c r="J369" t="s">
        <v>28</v>
      </c>
      <c r="K369" s="1">
        <v>45978</v>
      </c>
      <c r="L369" s="1"/>
      <c r="M369" s="1">
        <v>45775</v>
      </c>
      <c r="N369" s="1">
        <v>45967</v>
      </c>
      <c r="O369" s="1" t="s">
        <v>1825</v>
      </c>
      <c r="P369" t="s">
        <v>785</v>
      </c>
      <c r="Q369" t="s">
        <v>115</v>
      </c>
      <c r="R369" t="s">
        <v>162</v>
      </c>
      <c r="S369" t="s">
        <v>45</v>
      </c>
      <c r="T369" t="s">
        <v>334</v>
      </c>
      <c r="U369" t="s">
        <v>30</v>
      </c>
      <c r="V369" s="1">
        <v>45978.333009259302</v>
      </c>
      <c r="W369" s="1" t="s">
        <v>53</v>
      </c>
      <c r="X369" t="s">
        <v>32</v>
      </c>
      <c r="Y369" s="1">
        <v>45978.459733796299</v>
      </c>
      <c r="AA369" t="s">
        <v>1681</v>
      </c>
      <c r="AB369" t="s">
        <v>1520</v>
      </c>
      <c r="AC369" t="str">
        <f>INDEX('DB Description'!$A$1:$B$23,MATCH(Tabela2[[#This Row],[Filial DB code]],'DB Description'!A:A,),2)</f>
        <v>Bauko</v>
      </c>
      <c r="AD369" s="9">
        <f>Tabela2[[#This Row],[Issue2]]-Tabela2[[#This Row],[Failure2]]</f>
        <v>0.4597337962986785</v>
      </c>
      <c r="AE369" t="str">
        <f t="shared" ref="AE369:AE372" si="63">"FY"&amp;IF(MONTH(Y369)&gt;=4,YEAR(Y369),YEAR(Y369)-1)</f>
        <v>FY2025</v>
      </c>
      <c r="AF369">
        <f>YEAR(Tabela2[[#This Row],[Issue2]])</f>
        <v>2025</v>
      </c>
    </row>
    <row r="370" spans="1:32" x14ac:dyDescent="0.35">
      <c r="A370" t="s">
        <v>1826</v>
      </c>
      <c r="B370" t="s">
        <v>1620</v>
      </c>
      <c r="C370" t="s">
        <v>348</v>
      </c>
      <c r="D370" t="s">
        <v>269</v>
      </c>
      <c r="E370" t="s">
        <v>1850</v>
      </c>
      <c r="F370" t="s">
        <v>1849</v>
      </c>
      <c r="I370">
        <v>5042</v>
      </c>
      <c r="J370" t="s">
        <v>28</v>
      </c>
      <c r="K370" s="1">
        <v>45972</v>
      </c>
      <c r="L370" s="1"/>
      <c r="M370" s="1">
        <v>44994</v>
      </c>
      <c r="N370" s="1">
        <v>45068</v>
      </c>
      <c r="O370" s="1" t="s">
        <v>1213</v>
      </c>
      <c r="P370" t="s">
        <v>157</v>
      </c>
      <c r="Q370" t="s">
        <v>65</v>
      </c>
      <c r="R370" t="s">
        <v>124</v>
      </c>
      <c r="S370" t="s">
        <v>45</v>
      </c>
      <c r="T370" t="s">
        <v>334</v>
      </c>
      <c r="U370" t="s">
        <v>30</v>
      </c>
      <c r="V370" s="1">
        <v>45972</v>
      </c>
      <c r="W370" s="1" t="s">
        <v>53</v>
      </c>
      <c r="X370" t="s">
        <v>32</v>
      </c>
      <c r="Y370" s="1">
        <v>45972</v>
      </c>
      <c r="AA370" t="s">
        <v>1681</v>
      </c>
      <c r="AB370" t="s">
        <v>1520</v>
      </c>
      <c r="AC370" t="str">
        <f>INDEX('DB Description'!$A$1:$B$23,MATCH(Tabela2[[#This Row],[Filial DB code]],'DB Description'!A:A,),2)</f>
        <v>Bauko</v>
      </c>
      <c r="AD370" s="9">
        <f>Tabela2[[#This Row],[Issue2]]-Tabela2[[#This Row],[Failure2]]</f>
        <v>0</v>
      </c>
      <c r="AE370" t="str">
        <f t="shared" si="63"/>
        <v>FY2025</v>
      </c>
      <c r="AF370">
        <f>YEAR(Tabela2[[#This Row],[Issue2]])</f>
        <v>2025</v>
      </c>
    </row>
    <row r="371" spans="1:32" x14ac:dyDescent="0.35">
      <c r="A371" t="s">
        <v>1827</v>
      </c>
      <c r="B371" t="s">
        <v>1620</v>
      </c>
      <c r="C371" t="s">
        <v>348</v>
      </c>
      <c r="D371" t="s">
        <v>900</v>
      </c>
      <c r="E371" t="s">
        <v>1850</v>
      </c>
      <c r="F371" t="s">
        <v>1849</v>
      </c>
      <c r="I371">
        <v>4227</v>
      </c>
      <c r="J371" t="s">
        <v>28</v>
      </c>
      <c r="K371" s="1">
        <v>45972</v>
      </c>
      <c r="L371" s="1"/>
      <c r="M371" s="1">
        <v>45208</v>
      </c>
      <c r="N371" s="1">
        <v>45352</v>
      </c>
      <c r="O371" s="1" t="s">
        <v>1213</v>
      </c>
      <c r="P371" t="s">
        <v>157</v>
      </c>
      <c r="Q371" t="s">
        <v>65</v>
      </c>
      <c r="R371" t="s">
        <v>124</v>
      </c>
      <c r="S371" t="s">
        <v>45</v>
      </c>
      <c r="T371" t="s">
        <v>334</v>
      </c>
      <c r="U371" t="s">
        <v>30</v>
      </c>
      <c r="V371" s="1">
        <v>45972</v>
      </c>
      <c r="W371" s="1" t="s">
        <v>53</v>
      </c>
      <c r="X371" t="s">
        <v>32</v>
      </c>
      <c r="Y371" s="1">
        <v>45972</v>
      </c>
      <c r="Z371" s="1" t="s">
        <v>1828</v>
      </c>
      <c r="AA371" t="s">
        <v>1681</v>
      </c>
      <c r="AB371" t="s">
        <v>1520</v>
      </c>
      <c r="AC371" t="str">
        <f>INDEX('DB Description'!$A$1:$B$23,MATCH(Tabela2[[#This Row],[Filial DB code]],'DB Description'!A:A,),2)</f>
        <v>Bauko</v>
      </c>
      <c r="AD371" s="9">
        <f>Tabela2[[#This Row],[Issue2]]-Tabela2[[#This Row],[Failure2]]</f>
        <v>0</v>
      </c>
      <c r="AE371" t="str">
        <f t="shared" si="63"/>
        <v>FY2025</v>
      </c>
      <c r="AF371">
        <f>YEAR(Tabela2[[#This Row],[Issue2]])</f>
        <v>2025</v>
      </c>
    </row>
    <row r="372" spans="1:32" x14ac:dyDescent="0.35">
      <c r="A372" t="s">
        <v>1829</v>
      </c>
      <c r="B372" t="s">
        <v>1755</v>
      </c>
      <c r="C372" t="s">
        <v>348</v>
      </c>
      <c r="D372" t="s">
        <v>1830</v>
      </c>
      <c r="E372" t="s">
        <v>1846</v>
      </c>
      <c r="F372" t="s">
        <v>1854</v>
      </c>
      <c r="I372">
        <v>1647</v>
      </c>
      <c r="J372" t="s">
        <v>28</v>
      </c>
      <c r="K372" s="1">
        <v>45939</v>
      </c>
      <c r="L372" s="1"/>
      <c r="M372" s="1">
        <v>45560</v>
      </c>
      <c r="N372" s="1">
        <v>45624</v>
      </c>
      <c r="O372" s="1" t="s">
        <v>1756</v>
      </c>
      <c r="P372" t="s">
        <v>544</v>
      </c>
      <c r="Q372" t="s">
        <v>116</v>
      </c>
      <c r="R372" t="s">
        <v>162</v>
      </c>
      <c r="S372" t="s">
        <v>45</v>
      </c>
      <c r="T372" t="s">
        <v>334</v>
      </c>
      <c r="U372" t="s">
        <v>30</v>
      </c>
      <c r="V372" s="1">
        <v>45972</v>
      </c>
      <c r="W372" s="1" t="s">
        <v>53</v>
      </c>
      <c r="X372" t="s">
        <v>32</v>
      </c>
      <c r="Y372" s="1">
        <v>45972</v>
      </c>
      <c r="Z372" s="1" t="s">
        <v>1831</v>
      </c>
      <c r="AA372" t="s">
        <v>1681</v>
      </c>
      <c r="AB372" t="s">
        <v>1520</v>
      </c>
      <c r="AC372" t="str">
        <f>INDEX('DB Description'!$A$1:$B$23,MATCH(Tabela2[[#This Row],[Filial DB code]],'DB Description'!A:A,),2)</f>
        <v>Bauko</v>
      </c>
      <c r="AD372" s="9">
        <f>Tabela2[[#This Row],[Issue2]]-Tabela2[[#This Row],[Failure2]]</f>
        <v>33</v>
      </c>
      <c r="AE372" t="str">
        <f t="shared" si="63"/>
        <v>FY2025</v>
      </c>
      <c r="AF372">
        <f>YEAR(Tabela2[[#This Row],[Issue2]])</f>
        <v>2025</v>
      </c>
    </row>
    <row r="373" spans="1:32" x14ac:dyDescent="0.35">
      <c r="A373" t="s">
        <v>1832</v>
      </c>
      <c r="B373" t="s">
        <v>1700</v>
      </c>
      <c r="C373" t="s">
        <v>348</v>
      </c>
      <c r="D373" t="s">
        <v>1833</v>
      </c>
      <c r="E373" t="s">
        <v>1846</v>
      </c>
      <c r="F373" t="s">
        <v>1851</v>
      </c>
      <c r="I373">
        <v>1645.8</v>
      </c>
      <c r="J373" t="s">
        <v>28</v>
      </c>
      <c r="K373" s="1">
        <v>45943</v>
      </c>
      <c r="L373" s="1"/>
      <c r="M373" s="1">
        <v>45554</v>
      </c>
      <c r="N373" s="1">
        <v>45624</v>
      </c>
      <c r="O373" s="1" t="s">
        <v>1470</v>
      </c>
      <c r="P373" t="s">
        <v>544</v>
      </c>
      <c r="Q373" t="s">
        <v>116</v>
      </c>
      <c r="R373" t="s">
        <v>124</v>
      </c>
      <c r="S373" t="s">
        <v>45</v>
      </c>
      <c r="T373" t="s">
        <v>334</v>
      </c>
      <c r="U373" t="s">
        <v>30</v>
      </c>
      <c r="V373" s="1">
        <v>45943</v>
      </c>
      <c r="W373" s="1" t="s">
        <v>53</v>
      </c>
      <c r="X373" t="s">
        <v>32</v>
      </c>
      <c r="Y373" s="1">
        <v>45974</v>
      </c>
      <c r="Z373" s="1" t="s">
        <v>1834</v>
      </c>
      <c r="AA373" t="s">
        <v>1681</v>
      </c>
      <c r="AB373" t="s">
        <v>1520</v>
      </c>
      <c r="AC373" t="str">
        <f>INDEX('DB Description'!$A$1:$B$23,MATCH(Tabela2[[#This Row],[Filial DB code]],'DB Description'!A:A,),2)</f>
        <v>Bauko</v>
      </c>
      <c r="AD373" s="9">
        <f>Tabela2[[#This Row],[Issue2]]-Tabela2[[#This Row],[Failure2]]</f>
        <v>31</v>
      </c>
      <c r="AE373" t="str">
        <f>"FY"&amp;IF(MONTH(Y373)&gt;=4,YEAR(Y373),YEAR(Y373)-1)</f>
        <v>FY2025</v>
      </c>
      <c r="AF373">
        <f>YEAR(Tabela2[[#This Row],[Issue2]])</f>
        <v>2025</v>
      </c>
    </row>
    <row r="374" spans="1:32" x14ac:dyDescent="0.35">
      <c r="A374" t="s">
        <v>1835</v>
      </c>
      <c r="B374" t="s">
        <v>1836</v>
      </c>
      <c r="C374" t="s">
        <v>348</v>
      </c>
      <c r="D374" t="s">
        <v>1323</v>
      </c>
      <c r="E374" t="s">
        <v>1847</v>
      </c>
      <c r="F374" t="s">
        <v>1883</v>
      </c>
      <c r="I374">
        <v>2102.9</v>
      </c>
      <c r="J374" t="s">
        <v>47</v>
      </c>
      <c r="K374" s="1">
        <v>45974</v>
      </c>
      <c r="L374" s="1"/>
      <c r="M374" s="1">
        <v>45245</v>
      </c>
      <c r="N374" s="1">
        <v>45527</v>
      </c>
      <c r="O374" s="1" t="s">
        <v>244</v>
      </c>
      <c r="P374" t="s">
        <v>338</v>
      </c>
      <c r="Q374" t="s">
        <v>204</v>
      </c>
      <c r="R374" t="s">
        <v>50</v>
      </c>
      <c r="S374" t="s">
        <v>45</v>
      </c>
      <c r="T374" t="s">
        <v>329</v>
      </c>
      <c r="U374" t="s">
        <v>30</v>
      </c>
      <c r="V374" s="1">
        <v>45979</v>
      </c>
      <c r="W374" s="1" t="s">
        <v>53</v>
      </c>
      <c r="X374" t="s">
        <v>32</v>
      </c>
      <c r="Y374" s="1">
        <v>45979</v>
      </c>
      <c r="Z374" s="1" t="s">
        <v>1837</v>
      </c>
      <c r="AA374" t="s">
        <v>1681</v>
      </c>
      <c r="AB374" t="s">
        <v>1520</v>
      </c>
      <c r="AC374" t="str">
        <f>INDEX('DB Description'!$A$1:$B$23,MATCH(Tabela2[[#This Row],[Filial DB code]],'DB Description'!A:A,),2)</f>
        <v>Bauko</v>
      </c>
      <c r="AD374" s="9">
        <f>Tabela2[[#This Row],[Issue2]]-Tabela2[[#This Row],[Failure2]]</f>
        <v>5</v>
      </c>
      <c r="AE374" t="str">
        <f t="shared" ref="AE374:AE377" si="64">"FY"&amp;IF(MONTH(Y374)&gt;=4,YEAR(Y374),YEAR(Y374)-1)</f>
        <v>FY2025</v>
      </c>
      <c r="AF374">
        <f>YEAR(Tabela2[[#This Row],[Issue2]])</f>
        <v>2025</v>
      </c>
    </row>
    <row r="375" spans="1:32" x14ac:dyDescent="0.35">
      <c r="A375" t="s">
        <v>1838</v>
      </c>
      <c r="B375" t="s">
        <v>1604</v>
      </c>
      <c r="C375" t="s">
        <v>348</v>
      </c>
      <c r="D375" t="s">
        <v>1839</v>
      </c>
      <c r="E375" t="s">
        <v>1846</v>
      </c>
      <c r="F375" t="s">
        <v>1848</v>
      </c>
      <c r="I375">
        <v>3</v>
      </c>
      <c r="J375" t="s">
        <v>47</v>
      </c>
      <c r="K375" s="1">
        <v>45978</v>
      </c>
      <c r="L375" s="1"/>
      <c r="M375" s="1">
        <v>45891</v>
      </c>
      <c r="N375" s="1">
        <v>45965</v>
      </c>
      <c r="O375" s="1" t="s">
        <v>1049</v>
      </c>
      <c r="P375" t="s">
        <v>1418</v>
      </c>
      <c r="Q375" t="s">
        <v>116</v>
      </c>
      <c r="R375" t="s">
        <v>124</v>
      </c>
      <c r="S375" t="s">
        <v>45</v>
      </c>
      <c r="T375" t="s">
        <v>329</v>
      </c>
      <c r="U375" t="s">
        <v>30</v>
      </c>
      <c r="V375" s="1">
        <v>45978</v>
      </c>
      <c r="W375" s="1" t="s">
        <v>53</v>
      </c>
      <c r="X375" t="s">
        <v>32</v>
      </c>
      <c r="Y375" s="1">
        <v>45978</v>
      </c>
      <c r="AA375" t="s">
        <v>705</v>
      </c>
      <c r="AB375" t="s">
        <v>243</v>
      </c>
      <c r="AC375" t="str">
        <f>INDEX('DB Description'!$A$1:$B$23,MATCH(Tabela2[[#This Row],[Filial DB code]],'DB Description'!A:A,),2)</f>
        <v>Bauko</v>
      </c>
      <c r="AD375" s="9">
        <f>Tabela2[[#This Row],[Issue2]]-Tabela2[[#This Row],[Failure2]]</f>
        <v>0</v>
      </c>
      <c r="AE375" t="str">
        <f t="shared" si="64"/>
        <v>FY2025</v>
      </c>
      <c r="AF375">
        <f>YEAR(Tabela2[[#This Row],[Issue2]])</f>
        <v>2025</v>
      </c>
    </row>
    <row r="376" spans="1:32" x14ac:dyDescent="0.35">
      <c r="A376" t="s">
        <v>1840</v>
      </c>
      <c r="B376" t="s">
        <v>1620</v>
      </c>
      <c r="C376" t="s">
        <v>348</v>
      </c>
      <c r="D376" t="s">
        <v>310</v>
      </c>
      <c r="E376" t="s">
        <v>1850</v>
      </c>
      <c r="F376" t="s">
        <v>1849</v>
      </c>
      <c r="I376">
        <v>3242.8</v>
      </c>
      <c r="J376" t="s">
        <v>47</v>
      </c>
      <c r="K376" s="1">
        <v>45974</v>
      </c>
      <c r="L376" s="1"/>
      <c r="M376" s="1">
        <v>45201</v>
      </c>
      <c r="N376" s="1">
        <v>45285</v>
      </c>
      <c r="O376" s="1" t="s">
        <v>1213</v>
      </c>
      <c r="P376" t="s">
        <v>157</v>
      </c>
      <c r="Q376" t="s">
        <v>65</v>
      </c>
      <c r="R376" t="s">
        <v>124</v>
      </c>
      <c r="S376" t="s">
        <v>45</v>
      </c>
      <c r="T376" t="s">
        <v>329</v>
      </c>
      <c r="U376" t="s">
        <v>30</v>
      </c>
      <c r="V376" s="1">
        <v>45978</v>
      </c>
      <c r="W376" s="1" t="s">
        <v>53</v>
      </c>
      <c r="X376" t="s">
        <v>32</v>
      </c>
      <c r="Y376" s="1">
        <v>45978</v>
      </c>
      <c r="AA376" t="s">
        <v>1681</v>
      </c>
      <c r="AB376" t="s">
        <v>1520</v>
      </c>
      <c r="AC376" t="str">
        <f>INDEX('DB Description'!$A$1:$B$23,MATCH(Tabela2[[#This Row],[Filial DB code]],'DB Description'!A:A,),2)</f>
        <v>Bauko</v>
      </c>
      <c r="AD376" s="9">
        <f>Tabela2[[#This Row],[Issue2]]-Tabela2[[#This Row],[Failure2]]</f>
        <v>4</v>
      </c>
      <c r="AE376" t="str">
        <f t="shared" si="64"/>
        <v>FY2025</v>
      </c>
      <c r="AF376">
        <f>YEAR(Tabela2[[#This Row],[Issue2]])</f>
        <v>2025</v>
      </c>
    </row>
    <row r="377" spans="1:32" x14ac:dyDescent="0.35">
      <c r="A377" t="s">
        <v>1841</v>
      </c>
      <c r="B377" t="s">
        <v>1842</v>
      </c>
      <c r="C377" t="s">
        <v>348</v>
      </c>
      <c r="D377" t="s">
        <v>1843</v>
      </c>
      <c r="E377" t="s">
        <v>1853</v>
      </c>
      <c r="F377" t="s">
        <v>1852</v>
      </c>
      <c r="I377">
        <v>3</v>
      </c>
      <c r="J377" t="s">
        <v>154</v>
      </c>
      <c r="K377" s="1">
        <v>45966</v>
      </c>
      <c r="L377" s="1"/>
      <c r="M377" s="1">
        <v>45954</v>
      </c>
      <c r="N377" s="1">
        <v>45965</v>
      </c>
      <c r="O377" s="1" t="s">
        <v>400</v>
      </c>
      <c r="P377" t="s">
        <v>1347</v>
      </c>
      <c r="Q377" t="s">
        <v>204</v>
      </c>
      <c r="R377" t="s">
        <v>227</v>
      </c>
      <c r="S377" t="s">
        <v>45</v>
      </c>
      <c r="T377" t="s">
        <v>415</v>
      </c>
      <c r="U377" t="s">
        <v>409</v>
      </c>
      <c r="V377" s="1">
        <v>45978</v>
      </c>
      <c r="W377" s="1" t="s">
        <v>53</v>
      </c>
      <c r="X377" t="s">
        <v>32</v>
      </c>
      <c r="Y377" s="1">
        <v>45978</v>
      </c>
      <c r="AA377" t="s">
        <v>1339</v>
      </c>
      <c r="AB377" t="s">
        <v>243</v>
      </c>
      <c r="AC377" t="str">
        <f>INDEX('DB Description'!$A$1:$B$23,MATCH(Tabela2[[#This Row],[Filial DB code]],'DB Description'!A:A,),2)</f>
        <v>Bauko</v>
      </c>
      <c r="AD377" s="9">
        <f>Tabela2[[#This Row],[Issue2]]-Tabela2[[#This Row],[Failure2]]</f>
        <v>12</v>
      </c>
      <c r="AE377" t="str">
        <f t="shared" si="64"/>
        <v>FY2025</v>
      </c>
      <c r="AF377">
        <f>YEAR(Tabela2[[#This Row],[Issue2]])</f>
        <v>2025</v>
      </c>
    </row>
  </sheetData>
  <phoneticPr fontId="1" type="noConversion"/>
  <conditionalFormatting sqref="A1:A1048576">
    <cfRule type="duplicateValues" dxfId="1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D346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U4"/>
  <sheetViews>
    <sheetView workbookViewId="0"/>
  </sheetViews>
  <sheetFormatPr defaultRowHeight="14.5" x14ac:dyDescent="0.35"/>
  <sheetData>
    <row r="1" spans="1:21" x14ac:dyDescent="0.35">
      <c r="A1" t="s">
        <v>1525</v>
      </c>
    </row>
    <row r="2" spans="1:21" x14ac:dyDescent="0.35">
      <c r="A2" t="s">
        <v>1526</v>
      </c>
      <c r="B2" t="s">
        <v>1527</v>
      </c>
      <c r="C2" t="s">
        <v>1528</v>
      </c>
      <c r="D2" t="s">
        <v>1529</v>
      </c>
      <c r="E2" t="s">
        <v>1530</v>
      </c>
      <c r="F2" t="s">
        <v>1531</v>
      </c>
      <c r="G2" t="s">
        <v>1532</v>
      </c>
    </row>
    <row r="3" spans="1:21" x14ac:dyDescent="0.35">
      <c r="A3" t="s">
        <v>19</v>
      </c>
      <c r="B3" t="s">
        <v>361</v>
      </c>
      <c r="C3" t="s">
        <v>28</v>
      </c>
      <c r="D3" t="s">
        <v>154</v>
      </c>
      <c r="E3" t="s">
        <v>47</v>
      </c>
      <c r="F3" t="s">
        <v>72</v>
      </c>
      <c r="G3" t="s">
        <v>332</v>
      </c>
      <c r="H3" t="s">
        <v>39</v>
      </c>
      <c r="I3" t="s">
        <v>1533</v>
      </c>
      <c r="J3" t="s">
        <v>37</v>
      </c>
    </row>
    <row r="4" spans="1:21" x14ac:dyDescent="0.35">
      <c r="A4" t="s">
        <v>1534</v>
      </c>
      <c r="B4" t="s">
        <v>1535</v>
      </c>
      <c r="C4" t="s">
        <v>1510</v>
      </c>
      <c r="D4" t="s">
        <v>1536</v>
      </c>
      <c r="E4" t="s">
        <v>1537</v>
      </c>
      <c r="F4" t="s">
        <v>1538</v>
      </c>
      <c r="G4" t="s">
        <v>1539</v>
      </c>
      <c r="H4" t="s">
        <v>1540</v>
      </c>
      <c r="I4" t="s">
        <v>1541</v>
      </c>
      <c r="J4" t="s">
        <v>30</v>
      </c>
      <c r="K4" t="s">
        <v>409</v>
      </c>
      <c r="L4" t="s">
        <v>642</v>
      </c>
      <c r="M4" t="s">
        <v>801</v>
      </c>
      <c r="N4" t="s">
        <v>1542</v>
      </c>
      <c r="O4" t="s">
        <v>38</v>
      </c>
      <c r="P4" t="s">
        <v>357</v>
      </c>
      <c r="Q4" t="s">
        <v>1543</v>
      </c>
      <c r="R4" t="s">
        <v>1544</v>
      </c>
      <c r="S4" t="s">
        <v>382</v>
      </c>
      <c r="T4" t="s">
        <v>399</v>
      </c>
      <c r="U4" t="s">
        <v>384</v>
      </c>
    </row>
  </sheetData>
  <phoneticPr fontId="3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83AE33ACB6A942A25D4E6D411D9F70" ma:contentTypeVersion="20" ma:contentTypeDescription="Crie um novo documento." ma:contentTypeScope="" ma:versionID="ecfc4dc293cf9124ad42eff77e08e555">
  <xsd:schema xmlns:xsd="http://www.w3.org/2001/XMLSchema" xmlns:xs="http://www.w3.org/2001/XMLSchema" xmlns:p="http://schemas.microsoft.com/office/2006/metadata/properties" xmlns:ns2="40a81da1-7843-4768-90f2-8fec89c7cfc8" xmlns:ns3="90b39e2f-a222-4b78-bae0-40b8a48f15ae" xmlns:ns4="4dbc314b-a118-4028-a775-62df4ca10ae7" targetNamespace="http://schemas.microsoft.com/office/2006/metadata/properties" ma:root="true" ma:fieldsID="40c422c7e9bf5e66ac9828554793b411" ns2:_="" ns3:_="" ns4:_="">
    <xsd:import namespace="40a81da1-7843-4768-90f2-8fec89c7cfc8"/>
    <xsd:import namespace="90b39e2f-a222-4b78-bae0-40b8a48f15ae"/>
    <xsd:import namespace="4dbc314b-a118-4028-a775-62df4ca10a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4:MediaServiceAuto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81da1-7843-4768-90f2-8fec89c7c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36aa57-3f10-401e-86cd-e994c70b6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description="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e2f-a222-4b78-bae0-40b8a48f1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3e66bc-b2d6-4feb-89c2-f9b92c9c45d2}" ma:internalName="TaxCatchAll" ma:showField="CatchAllData" ma:web="90b39e2f-a222-4b78-bae0-40b8a48f1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314b-a118-4028-a775-62df4ca10ae7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3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39e2f-a222-4b78-bae0-40b8a48f15ae" xsi:nil="true"/>
    <lcf76f155ced4ddcb4097134ff3c332f xmlns="40a81da1-7843-4768-90f2-8fec89c7cf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9A091-DEAC-4905-A160-67E7D8F39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a81da1-7843-4768-90f2-8fec89c7cfc8"/>
    <ds:schemaRef ds:uri="90b39e2f-a222-4b78-bae0-40b8a48f15ae"/>
    <ds:schemaRef ds:uri="4dbc314b-a118-4028-a775-62df4ca10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A68F9A-7E71-4D01-864C-F5736FEBB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2FD00A-7BF0-4B67-AA25-63D506C83B47}">
  <ds:schemaRefs>
    <ds:schemaRef ds:uri="http://schemas.microsoft.com/office/2006/metadata/properties"/>
    <ds:schemaRef ds:uri="http://purl.org/dc/terms/"/>
    <ds:schemaRef ds:uri="90b39e2f-a222-4b78-bae0-40b8a48f15ae"/>
    <ds:schemaRef ds:uri="http://www.w3.org/XML/1998/namespace"/>
    <ds:schemaRef ds:uri="http://schemas.microsoft.com/office/2006/documentManagement/types"/>
    <ds:schemaRef ds:uri="http://purl.org/dc/elements/1.1/"/>
    <ds:schemaRef ds:uri="40a81da1-7843-4768-90f2-8fec89c7cfc8"/>
    <ds:schemaRef ds:uri="http://purl.org/dc/dcmitype/"/>
    <ds:schemaRef ds:uri="4dbc314b-a118-4028-a775-62df4ca10ae7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41b4291f-9011-4278-84b6-0f8e5844ad8d}" enabled="1" method="Privileged" siteId="{58be8688-6625-4e52-80d8-c17f3a9ae0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DB Description</vt:lpstr>
      <vt:lpstr>KBI (All) - SORT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Ferreira Strada</dc:creator>
  <cp:keywords/>
  <dc:description/>
  <cp:lastModifiedBy>Cid Clay Quirino</cp:lastModifiedBy>
  <cp:revision/>
  <dcterms:created xsi:type="dcterms:W3CDTF">2022-05-30T14:18:21Z</dcterms:created>
  <dcterms:modified xsi:type="dcterms:W3CDTF">2025-11-24T16:32:14Z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7f7187-34b3-496d-b01c-ae1253522e5e_Enabled">
    <vt:lpwstr>true</vt:lpwstr>
  </property>
  <property fmtid="{D5CDD505-2E9C-101B-9397-08002B2CF9AE}" pid="3" name="MSIP_Label_f37f7187-34b3-496d-b01c-ae1253522e5e_SetDate">
    <vt:lpwstr>2022-04-25T20:31:30Z</vt:lpwstr>
  </property>
  <property fmtid="{D5CDD505-2E9C-101B-9397-08002B2CF9AE}" pid="4" name="MSIP_Label_f37f7187-34b3-496d-b01c-ae1253522e5e_Method">
    <vt:lpwstr>Privileged</vt:lpwstr>
  </property>
  <property fmtid="{D5CDD505-2E9C-101B-9397-08002B2CF9AE}" pid="5" name="MSIP_Label_f37f7187-34b3-496d-b01c-ae1253522e5e_Name">
    <vt:lpwstr>S0 - General</vt:lpwstr>
  </property>
  <property fmtid="{D5CDD505-2E9C-101B-9397-08002B2CF9AE}" pid="6" name="MSIP_Label_f37f7187-34b3-496d-b01c-ae1253522e5e_SiteId">
    <vt:lpwstr>c2e52603-ce54-4fc0-91cd-3ff188b4efca</vt:lpwstr>
  </property>
  <property fmtid="{D5CDD505-2E9C-101B-9397-08002B2CF9AE}" pid="7" name="MSIP_Label_f37f7187-34b3-496d-b01c-ae1253522e5e_ActionId">
    <vt:lpwstr>07390c06-0cd8-4223-8105-2dea54ae6a5b</vt:lpwstr>
  </property>
  <property fmtid="{D5CDD505-2E9C-101B-9397-08002B2CF9AE}" pid="8" name="MSIP_Label_f37f7187-34b3-496d-b01c-ae1253522e5e_ContentBits">
    <vt:lpwstr>0</vt:lpwstr>
  </property>
  <property fmtid="{D5CDD505-2E9C-101B-9397-08002B2CF9AE}" pid="9" name="ContentTypeId">
    <vt:lpwstr>0x010100F183AE33ACB6A942A25D4E6D411D9F70</vt:lpwstr>
  </property>
  <property fmtid="{D5CDD505-2E9C-101B-9397-08002B2CF9AE}" pid="10" name="MediaServiceImageTags">
    <vt:lpwstr/>
  </property>
</Properties>
</file>